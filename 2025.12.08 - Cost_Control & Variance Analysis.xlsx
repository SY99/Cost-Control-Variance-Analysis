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Z:\Portfolio\Cost Control &amp; Variance Analysis\"/>
    </mc:Choice>
  </mc:AlternateContent>
  <xr:revisionPtr revIDLastSave="0" documentId="13_ncr:1_{2DB7BC46-FBBF-418D-86ED-F5B83CF0D03B}" xr6:coauthVersionLast="47" xr6:coauthVersionMax="47" xr10:uidLastSave="{00000000-0000-0000-0000-000000000000}"/>
  <bookViews>
    <workbookView xWindow="-120" yWindow="-120" windowWidth="20640" windowHeight="11160" activeTab="2" xr2:uid="{63B34EC5-0B4F-4489-AFE6-C09E70C8CABD}"/>
  </bookViews>
  <sheets>
    <sheet name="main_data" sheetId="1" r:id="rId1"/>
    <sheet name="Sheet1" sheetId="7" r:id="rId2"/>
    <sheet name="Cost_Analysis" sheetId="6" r:id="rId3"/>
  </sheets>
  <definedNames>
    <definedName name="_xlcn.WorksheetConnection_2025.12.08Cost_ControlVarianceAnalysis.xlsxCost_Data" hidden="1">Cost_Data[]</definedName>
    <definedName name="ExternalData_1" localSheetId="1" hidden="1">Sheet1!$A$3:$H$4</definedName>
    <definedName name="Slicer_Contractor_Name">#N/A</definedName>
    <definedName name="Slicer_Month">#N/A</definedName>
    <definedName name="Slicer_Task">#N/A</definedName>
  </definedNames>
  <calcPr calcId="191029"/>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st_Data" name="Cost_Data" connection="WorksheetConnection_2025.12.08 - Cost_Control &amp; Variance Analysis.xlsx!Cost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 l="1"/>
  <c r="I23" i="1"/>
  <c r="I22" i="1"/>
  <c r="I21" i="1"/>
  <c r="I20" i="1"/>
  <c r="I19" i="1"/>
  <c r="I18" i="1"/>
  <c r="I17" i="1"/>
  <c r="I16" i="1"/>
  <c r="I15" i="1"/>
  <c r="I14" i="1"/>
  <c r="I13" i="1"/>
  <c r="I12" i="1"/>
  <c r="I11" i="1"/>
  <c r="I10" i="1"/>
  <c r="I9" i="1"/>
  <c r="I8" i="1"/>
  <c r="I7" i="1"/>
  <c r="I6" i="1"/>
  <c r="I5" i="1"/>
  <c r="I4" i="1"/>
  <c r="I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22EDAA-D02B-40AD-AA29-33E2407A134D}" keepAlive="1" name="ModelConnection_ExternalData_1" description="Data Model" type="5" refreshedVersion="8" minRefreshableVersion="5" saveData="1">
    <dbPr connection="Data Model Connection" command="DRILLTHROUGH MAXROWS 1000 SELECT FROM [Model] WHERE (([Cost_Data].[Contractor Name].[All],[Cost_Data].[Month].[All],[Measures].[Sum of Variance],[Cost_Data].[Task].&amp;[(D&amp;W) - Door Frames])) RETURN [$Cost_Data].[Project Name],[$Cost_Data].[Contractor Name],[$Cost_Data].[Contractor Category],[$Cost_Data].[Task],[$Cost_Data].[Month],[$Cost_Data].[Planned Cost],[$Cost_Data].[Actual Cost],[$Cost_Data].[Variance]" commandType="4"/>
    <extLst>
      <ext xmlns:x15="http://schemas.microsoft.com/office/spreadsheetml/2010/11/main" uri="{DE250136-89BD-433C-8126-D09CA5730AF9}">
        <x15:connection id="" model="1"/>
      </ext>
    </extLst>
  </connection>
  <connection id="2" xr16:uid="{1765DCC0-18AD-49FD-9627-1D32FA7D0510}" keepAlive="1" name="Query - 2025 12 08 - Contractors_Details" description="Connection to the '2025 12 08 - Contractors_Details' query in the workbook." type="5" refreshedVersion="0" background="1">
    <dbPr connection="Provider=Microsoft.Mashup.OleDb.1;Data Source=$Workbook$;Location=&quot;2025 12 08 - Contractors_Details&quot;;Extended Properties=&quot;&quot;" command="SELECT * FROM [2025 12 08 - Contractors_Details]"/>
  </connection>
  <connection id="3" xr16:uid="{42526D31-4FD7-4F9F-80B1-4A6CA0DD0C2E}" keepAlive="1" name="Query - 2025 12 08 - Contractors_Details (2)" description="Connection to the '2025 12 08 - Contractors_Details (2)' query in the workbook." type="5" refreshedVersion="8" background="1" saveData="1">
    <dbPr connection="Provider=Microsoft.Mashup.OleDb.1;Data Source=$Workbook$;Location=&quot;2025 12 08 - Contractors_Details (2)&quot;;Extended Properties=&quot;&quot;" command="SELECT * FROM [2025 12 08 - Contractors_Details (2)]"/>
  </connection>
  <connection id="4" xr16:uid="{62BAB9D1-2C7E-4C54-B99A-A8F4C9E90037}" keepAlive="1" name="Query - 2025 12 08 - taskname_Details" description="Connection to the '2025 12 08 - taskname_Details' query in the workbook." type="5" refreshedVersion="0" background="1">
    <dbPr connection="Provider=Microsoft.Mashup.OleDb.1;Data Source=$Workbook$;Location=&quot;2025 12 08 - taskname_Details&quot;;Extended Properties=&quot;&quot;" command="SELECT * FROM [2025 12 08 - taskname_Details]"/>
  </connection>
  <connection id="5" xr16:uid="{2AA331FD-03D9-4566-85FB-04749CAD9BF2}" keepAlive="1" name="Query - 2025 12 08 - taskname_Details (2)" description="Connection to the '2025 12 08 - taskname_Details (2)' query in the workbook." type="5" refreshedVersion="8" background="1" saveData="1">
    <dbPr connection="Provider=Microsoft.Mashup.OleDb.1;Data Source=$Workbook$;Location=&quot;2025 12 08 - taskname_Details (2)&quot;;Extended Properties=&quot;&quot;" command="SELECT * FROM [2025 12 08 - taskname_Details (2)]"/>
  </connection>
  <connection id="6" xr16:uid="{246E8310-2E74-4A46-B8E5-048249E5D9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B70663A-FC70-4D21-BD4B-5713DE335E68}" name="WorksheetConnection_2025.12.08 - Cost_Control &amp; Variance Analysis.xlsx!Cost_Data" type="102" refreshedVersion="8" minRefreshableVersion="5">
    <extLst>
      <ext xmlns:x15="http://schemas.microsoft.com/office/spreadsheetml/2010/11/main" uri="{DE250136-89BD-433C-8126-D09CA5730AF9}">
        <x15:connection id="Cost_Data" autoDelete="1">
          <x15:rangePr sourceName="_xlcn.WorksheetConnection_2025.12.08Cost_ControlVarianceAnalysis.xlsxCost_Data"/>
        </x15:connection>
      </ext>
    </extLst>
  </connection>
</connections>
</file>

<file path=xl/sharedStrings.xml><?xml version="1.0" encoding="utf-8"?>
<sst xmlns="http://schemas.openxmlformats.org/spreadsheetml/2006/main" count="143" uniqueCount="56">
  <si>
    <t>The Ark: Origin</t>
  </si>
  <si>
    <t>Shree Brickwork Solutions</t>
  </si>
  <si>
    <t>Masonry / Brickwork</t>
  </si>
  <si>
    <t>Perfect Plaster Works</t>
  </si>
  <si>
    <t>Plaster</t>
  </si>
  <si>
    <t>Interior POP Experts</t>
  </si>
  <si>
    <t>POP / Gypsum</t>
  </si>
  <si>
    <t>Sai Electricals</t>
  </si>
  <si>
    <t>Electrical Work</t>
  </si>
  <si>
    <t>Omkar Plumbing Services</t>
  </si>
  <si>
    <t>Plumbing Work</t>
  </si>
  <si>
    <t>AquaSeal Waterproofing</t>
  </si>
  <si>
    <t>Waterproofing</t>
  </si>
  <si>
    <t>TileCraft Services</t>
  </si>
  <si>
    <t>Tiling</t>
  </si>
  <si>
    <t>Marble &amp; Granite Hub</t>
  </si>
  <si>
    <t>Granite / Marble</t>
  </si>
  <si>
    <t>StrongBuild RCC Contractors</t>
  </si>
  <si>
    <t>RCC / Structural Work</t>
  </si>
  <si>
    <t>Prime Door &amp; Window Systems</t>
  </si>
  <si>
    <t>Doors &amp; Windows</t>
  </si>
  <si>
    <t>ColorWorks Painting Co.</t>
  </si>
  <si>
    <t>Painting &amp; Touchup</t>
  </si>
  <si>
    <t>Slab Cleaning</t>
  </si>
  <si>
    <t>Brick Work</t>
  </si>
  <si>
    <t>Cement Plaster</t>
  </si>
  <si>
    <t>POP Plaster</t>
  </si>
  <si>
    <t>Electrical Conduits</t>
  </si>
  <si>
    <t>Plumbing</t>
  </si>
  <si>
    <t>Tiling - Floors</t>
  </si>
  <si>
    <t>Tiling - Granite</t>
  </si>
  <si>
    <t>(D&amp;W) - Door Frames</t>
  </si>
  <si>
    <t>(D&amp;W) - Door Shutter + Hardware</t>
  </si>
  <si>
    <t>Cleaning</t>
  </si>
  <si>
    <t>Project Name</t>
  </si>
  <si>
    <t>Contractor Name</t>
  </si>
  <si>
    <t>Contractor Category</t>
  </si>
  <si>
    <t>Task</t>
  </si>
  <si>
    <t>Month</t>
  </si>
  <si>
    <t>Planned Cost</t>
  </si>
  <si>
    <t>Actual Cost</t>
  </si>
  <si>
    <t>Row Labels</t>
  </si>
  <si>
    <t>Grand Total</t>
  </si>
  <si>
    <t>Sum of Planned Cost</t>
  </si>
  <si>
    <t>Sum of Actual Cost</t>
  </si>
  <si>
    <t>Variance</t>
  </si>
  <si>
    <t>Sum of Variance</t>
  </si>
  <si>
    <t>Cost_Data[Project Name]</t>
  </si>
  <si>
    <t>Cost_Data[Contractor Name]</t>
  </si>
  <si>
    <t>Cost_Data[Contractor Category]</t>
  </si>
  <si>
    <t>Cost_Data[Task]</t>
  </si>
  <si>
    <t>Cost_Data[Month]</t>
  </si>
  <si>
    <t>Cost_Data[Planned Cost]</t>
  </si>
  <si>
    <t>Cost_Data[Actual Cost]</t>
  </si>
  <si>
    <t>Cost_Data[Variance]</t>
  </si>
  <si>
    <t>Data returned for Sum of Variance, (D&amp;W) - Door Frames,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</si>
</sst>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1" fillId="0" borderId="0" xfId="0" applyFont="1"/>
  </cellXfs>
  <cellStyles count="1">
    <cellStyle name="Normal" xfId="0" builtinId="0"/>
  </cellStyles>
  <dxfs count="10">
    <dxf>
      <fill>
        <patternFill>
          <bgColor rgb="FFC00000"/>
        </patternFill>
      </fill>
    </dxf>
    <dxf>
      <fill>
        <patternFill>
          <bgColor rgb="FF92D050"/>
        </patternFill>
      </fil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font>
        <b val="0"/>
        <i val="0"/>
        <strike val="0"/>
        <sz val="10"/>
        <color theme="0"/>
        <name val="Consolas"/>
        <family val="3"/>
        <scheme val="none"/>
      </font>
      <fill>
        <patternFill>
          <fgColor theme="0"/>
          <bgColor theme="1"/>
        </patternFill>
      </fill>
    </dxf>
  </dxfs>
  <tableStyles count="1" defaultTableStyle="TableStyleMedium2" defaultPivotStyle="PivotStyleLight16">
    <tableStyle name="Slicer Style 1" pivot="0" table="0" count="1" xr9:uid="{1E4045BE-EFCB-4FB1-9847-4C80DC2A970B}">
      <tableStyleElement type="headerRow" dxfId="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[2025.12.08 - Cost_Control &amp; Variance Analysis.xlsx]Cost_Analysis!Cost_Control_Pivot</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variance between actual &amp; planned cost</a:t>
            </a:r>
          </a:p>
        </c:rich>
      </c:tx>
      <c:overlay val="0"/>
      <c:spPr>
        <a:noFill/>
        <a:ln>
          <a:noFill/>
        </a:ln>
        <a:effectLst/>
      </c:sp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45418888624582"/>
          <c:y val="0.13097174060442876"/>
          <c:w val="0.70521358737876805"/>
          <c:h val="0.73821757101863938"/>
        </c:manualLayout>
      </c:layout>
      <c:barChart>
        <c:barDir val="bar"/>
        <c:grouping val="clustered"/>
        <c:varyColors val="0"/>
        <c:ser>
          <c:idx val="0"/>
          <c:order val="0"/>
          <c:tx>
            <c:strRef>
              <c:f>Cost_Analysis!$E$32</c:f>
              <c:strCache>
                <c:ptCount val="1"/>
                <c:pt idx="0">
                  <c:v>Sum of Actual Cost</c:v>
                </c:pt>
              </c:strCache>
            </c:strRef>
          </c:tx>
          <c:spPr>
            <a:pattFill prst="narVert">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Cost_Analysis!$D$33:$D$46</c:f>
              <c:strCache>
                <c:ptCount val="13"/>
                <c:pt idx="0">
                  <c:v>(D&amp;W) - Door Frames</c:v>
                </c:pt>
                <c:pt idx="1">
                  <c:v>(D&amp;W) - Door Shutter + Hardware</c:v>
                </c:pt>
                <c:pt idx="2">
                  <c:v>Brick Work</c:v>
                </c:pt>
                <c:pt idx="3">
                  <c:v>Cement Plaster</c:v>
                </c:pt>
                <c:pt idx="4">
                  <c:v>Cleaning</c:v>
                </c:pt>
                <c:pt idx="5">
                  <c:v>Electrical Conduits</c:v>
                </c:pt>
                <c:pt idx="6">
                  <c:v>Painting &amp; Touchup</c:v>
                </c:pt>
                <c:pt idx="7">
                  <c:v>Plumbing</c:v>
                </c:pt>
                <c:pt idx="8">
                  <c:v>POP Plaster</c:v>
                </c:pt>
                <c:pt idx="9">
                  <c:v>Slab Cleaning</c:v>
                </c:pt>
                <c:pt idx="10">
                  <c:v>Tiling - Floors</c:v>
                </c:pt>
                <c:pt idx="11">
                  <c:v>Tiling - Granite</c:v>
                </c:pt>
                <c:pt idx="12">
                  <c:v>Waterproofing</c:v>
                </c:pt>
              </c:strCache>
            </c:strRef>
          </c:cat>
          <c:val>
            <c:numRef>
              <c:f>Cost_Analysis!$E$33:$E$46</c:f>
              <c:numCache>
                <c:formatCode>General</c:formatCode>
                <c:ptCount val="13"/>
                <c:pt idx="0">
                  <c:v>390000</c:v>
                </c:pt>
                <c:pt idx="1">
                  <c:v>460000</c:v>
                </c:pt>
                <c:pt idx="2">
                  <c:v>1230000</c:v>
                </c:pt>
                <c:pt idx="3">
                  <c:v>815000</c:v>
                </c:pt>
                <c:pt idx="4">
                  <c:v>210000</c:v>
                </c:pt>
                <c:pt idx="5">
                  <c:v>600000</c:v>
                </c:pt>
                <c:pt idx="6">
                  <c:v>340000</c:v>
                </c:pt>
                <c:pt idx="7">
                  <c:v>625000</c:v>
                </c:pt>
                <c:pt idx="8">
                  <c:v>750000</c:v>
                </c:pt>
                <c:pt idx="9">
                  <c:v>1550000</c:v>
                </c:pt>
                <c:pt idx="10">
                  <c:v>280000</c:v>
                </c:pt>
                <c:pt idx="11">
                  <c:v>450000</c:v>
                </c:pt>
                <c:pt idx="12">
                  <c:v>580000</c:v>
                </c:pt>
              </c:numCache>
            </c:numRef>
          </c:val>
          <c:extLst>
            <c:ext xmlns:c16="http://schemas.microsoft.com/office/drawing/2014/chart" uri="{C3380CC4-5D6E-409C-BE32-E72D297353CC}">
              <c16:uniqueId val="{00000003-E54B-4B59-89D4-27C529AE8C29}"/>
            </c:ext>
          </c:extLst>
        </c:ser>
        <c:ser>
          <c:idx val="1"/>
          <c:order val="1"/>
          <c:tx>
            <c:strRef>
              <c:f>Cost_Analysis!$F$32</c:f>
              <c:strCache>
                <c:ptCount val="1"/>
                <c:pt idx="0">
                  <c:v>Sum of Planned Cost</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Cost_Analysis!$D$33:$D$46</c:f>
              <c:strCache>
                <c:ptCount val="13"/>
                <c:pt idx="0">
                  <c:v>(D&amp;W) - Door Frames</c:v>
                </c:pt>
                <c:pt idx="1">
                  <c:v>(D&amp;W) - Door Shutter + Hardware</c:v>
                </c:pt>
                <c:pt idx="2">
                  <c:v>Brick Work</c:v>
                </c:pt>
                <c:pt idx="3">
                  <c:v>Cement Plaster</c:v>
                </c:pt>
                <c:pt idx="4">
                  <c:v>Cleaning</c:v>
                </c:pt>
                <c:pt idx="5">
                  <c:v>Electrical Conduits</c:v>
                </c:pt>
                <c:pt idx="6">
                  <c:v>Painting &amp; Touchup</c:v>
                </c:pt>
                <c:pt idx="7">
                  <c:v>Plumbing</c:v>
                </c:pt>
                <c:pt idx="8">
                  <c:v>POP Plaster</c:v>
                </c:pt>
                <c:pt idx="9">
                  <c:v>Slab Cleaning</c:v>
                </c:pt>
                <c:pt idx="10">
                  <c:v>Tiling - Floors</c:v>
                </c:pt>
                <c:pt idx="11">
                  <c:v>Tiling - Granite</c:v>
                </c:pt>
                <c:pt idx="12">
                  <c:v>Waterproofing</c:v>
                </c:pt>
              </c:strCache>
            </c:strRef>
          </c:cat>
          <c:val>
            <c:numRef>
              <c:f>Cost_Analysis!$F$33:$F$46</c:f>
              <c:numCache>
                <c:formatCode>General</c:formatCode>
                <c:ptCount val="13"/>
                <c:pt idx="0">
                  <c:v>380000</c:v>
                </c:pt>
                <c:pt idx="1">
                  <c:v>420000</c:v>
                </c:pt>
                <c:pt idx="2">
                  <c:v>1270000</c:v>
                </c:pt>
                <c:pt idx="3">
                  <c:v>770000</c:v>
                </c:pt>
                <c:pt idx="4">
                  <c:v>200000</c:v>
                </c:pt>
                <c:pt idx="5">
                  <c:v>620000</c:v>
                </c:pt>
                <c:pt idx="6">
                  <c:v>300000</c:v>
                </c:pt>
                <c:pt idx="7">
                  <c:v>580000</c:v>
                </c:pt>
                <c:pt idx="8">
                  <c:v>710000</c:v>
                </c:pt>
                <c:pt idx="9">
                  <c:v>1470000</c:v>
                </c:pt>
                <c:pt idx="10">
                  <c:v>310000</c:v>
                </c:pt>
                <c:pt idx="11">
                  <c:v>450000</c:v>
                </c:pt>
                <c:pt idx="12">
                  <c:v>530000</c:v>
                </c:pt>
              </c:numCache>
            </c:numRef>
          </c:val>
          <c:extLst>
            <c:ext xmlns:c16="http://schemas.microsoft.com/office/drawing/2014/chart" uri="{C3380CC4-5D6E-409C-BE32-E72D297353CC}">
              <c16:uniqueId val="{00000007-E54B-4B59-89D4-27C529AE8C29}"/>
            </c:ext>
          </c:extLst>
        </c:ser>
        <c:ser>
          <c:idx val="2"/>
          <c:order val="2"/>
          <c:tx>
            <c:strRef>
              <c:f>Cost_Analysis!$G$32</c:f>
              <c:strCache>
                <c:ptCount val="1"/>
                <c:pt idx="0">
                  <c:v>Sum of Variance</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Cost_Analysis!$D$33:$D$46</c:f>
              <c:strCache>
                <c:ptCount val="13"/>
                <c:pt idx="0">
                  <c:v>(D&amp;W) - Door Frames</c:v>
                </c:pt>
                <c:pt idx="1">
                  <c:v>(D&amp;W) - Door Shutter + Hardware</c:v>
                </c:pt>
                <c:pt idx="2">
                  <c:v>Brick Work</c:v>
                </c:pt>
                <c:pt idx="3">
                  <c:v>Cement Plaster</c:v>
                </c:pt>
                <c:pt idx="4">
                  <c:v>Cleaning</c:v>
                </c:pt>
                <c:pt idx="5">
                  <c:v>Electrical Conduits</c:v>
                </c:pt>
                <c:pt idx="6">
                  <c:v>Painting &amp; Touchup</c:v>
                </c:pt>
                <c:pt idx="7">
                  <c:v>Plumbing</c:v>
                </c:pt>
                <c:pt idx="8">
                  <c:v>POP Plaster</c:v>
                </c:pt>
                <c:pt idx="9">
                  <c:v>Slab Cleaning</c:v>
                </c:pt>
                <c:pt idx="10">
                  <c:v>Tiling - Floors</c:v>
                </c:pt>
                <c:pt idx="11">
                  <c:v>Tiling - Granite</c:v>
                </c:pt>
                <c:pt idx="12">
                  <c:v>Waterproofing</c:v>
                </c:pt>
              </c:strCache>
            </c:strRef>
          </c:cat>
          <c:val>
            <c:numRef>
              <c:f>Cost_Analysis!$G$33:$G$46</c:f>
              <c:numCache>
                <c:formatCode>General</c:formatCode>
                <c:ptCount val="13"/>
                <c:pt idx="0">
                  <c:v>10000</c:v>
                </c:pt>
                <c:pt idx="1">
                  <c:v>40000</c:v>
                </c:pt>
                <c:pt idx="2">
                  <c:v>-40000</c:v>
                </c:pt>
                <c:pt idx="3">
                  <c:v>45000</c:v>
                </c:pt>
                <c:pt idx="4">
                  <c:v>10000</c:v>
                </c:pt>
                <c:pt idx="5">
                  <c:v>-20000</c:v>
                </c:pt>
                <c:pt idx="6">
                  <c:v>40000</c:v>
                </c:pt>
                <c:pt idx="7">
                  <c:v>45000</c:v>
                </c:pt>
                <c:pt idx="8">
                  <c:v>40000</c:v>
                </c:pt>
                <c:pt idx="9">
                  <c:v>80000</c:v>
                </c:pt>
                <c:pt idx="10">
                  <c:v>-30000</c:v>
                </c:pt>
                <c:pt idx="11">
                  <c:v>0</c:v>
                </c:pt>
                <c:pt idx="12">
                  <c:v>50000</c:v>
                </c:pt>
              </c:numCache>
            </c:numRef>
          </c:val>
          <c:extLst>
            <c:ext xmlns:c16="http://schemas.microsoft.com/office/drawing/2014/chart" uri="{C3380CC4-5D6E-409C-BE32-E72D297353CC}">
              <c16:uniqueId val="{00000008-E54B-4B59-89D4-27C529AE8C29}"/>
            </c:ext>
          </c:extLst>
        </c:ser>
        <c:dLbls>
          <c:dLblPos val="outEnd"/>
          <c:showLegendKey val="0"/>
          <c:showVal val="1"/>
          <c:showCatName val="0"/>
          <c:showSerName val="0"/>
          <c:showPercent val="0"/>
          <c:showBubbleSize val="0"/>
        </c:dLbls>
        <c:gapWidth val="227"/>
        <c:overlap val="-48"/>
        <c:axId val="1016905488"/>
        <c:axId val="1016906208"/>
      </c:barChart>
      <c:catAx>
        <c:axId val="10169054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Task List</a:t>
                </a:r>
              </a:p>
            </c:rich>
          </c:tx>
          <c:overlay val="0"/>
          <c:spPr>
            <a:noFill/>
            <a:ln>
              <a:noFill/>
            </a:ln>
            <a:effectLst/>
          </c:sp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6906208"/>
        <c:crosses val="autoZero"/>
        <c:auto val="1"/>
        <c:lblAlgn val="ctr"/>
        <c:lblOffset val="100"/>
        <c:noMultiLvlLbl val="0"/>
      </c:catAx>
      <c:valAx>
        <c:axId val="10169062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Actual Cost Vs Planned Cost</a:t>
                </a:r>
              </a:p>
            </c:rich>
          </c:tx>
          <c:layout>
            <c:manualLayout>
              <c:xMode val="edge"/>
              <c:yMode val="edge"/>
              <c:x val="0.45053777159758235"/>
              <c:y val="0.9331913394565700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905488"/>
        <c:crosses val="autoZero"/>
        <c:crossBetween val="between"/>
        <c:dispUnits>
          <c:builtInUnit val="millions"/>
          <c:dispUnitsLbl>
            <c:tx>
              <c:rich>
                <a:bodyPr/>
                <a:lstStyle/>
                <a:p>
                  <a:pPr>
                    <a:defRPr/>
                  </a:pPr>
                  <a:r>
                    <a:rPr lang="en-US"/>
                    <a:t>Cost (₹ in Lakhs)</a:t>
                  </a:r>
                </a:p>
              </c:rich>
            </c:tx>
          </c:dispUnitsLbl>
        </c:dispUnits>
      </c:valAx>
    </c:plotArea>
    <c:plotVisOnly val="1"/>
    <c:dispBlanksAs val="gap"/>
    <c:showDLblsOverMax val="0"/>
    <c:extLst/>
  </c:chart>
  <c:spPr>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[2025.12.08 - Cost_Control &amp; Variance Analysis.xlsx]Cost_Analysis!PivotTable1</c:name>
    <c:fmtId val="2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Variance</a:t>
            </a:r>
            <a:r>
              <a:rPr lang="en-US" baseline="0"/>
              <a:t> by task</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7519536588252E-2"/>
          <c:y val="0.11453504935842428"/>
          <c:w val="0.8723550226351704"/>
          <c:h val="0.82216507581555376"/>
        </c:manualLayout>
      </c:layout>
      <c:barChart>
        <c:barDir val="bar"/>
        <c:grouping val="clustered"/>
        <c:varyColors val="0"/>
        <c:ser>
          <c:idx val="0"/>
          <c:order val="0"/>
          <c:tx>
            <c:strRef>
              <c:f>Cost_Analysis!$J$32</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Cost_Analysis!$I$33:$I$46</c:f>
              <c:strCache>
                <c:ptCount val="13"/>
                <c:pt idx="0">
                  <c:v>(D&amp;W) - Door Frames</c:v>
                </c:pt>
                <c:pt idx="1">
                  <c:v>(D&amp;W) - Door Shutter + Hardware</c:v>
                </c:pt>
                <c:pt idx="2">
                  <c:v>Brick Work</c:v>
                </c:pt>
                <c:pt idx="3">
                  <c:v>Cement Plaster</c:v>
                </c:pt>
                <c:pt idx="4">
                  <c:v>Cleaning</c:v>
                </c:pt>
                <c:pt idx="5">
                  <c:v>Electrical Conduits</c:v>
                </c:pt>
                <c:pt idx="6">
                  <c:v>Painting &amp; Touchup</c:v>
                </c:pt>
                <c:pt idx="7">
                  <c:v>Plumbing</c:v>
                </c:pt>
                <c:pt idx="8">
                  <c:v>POP Plaster</c:v>
                </c:pt>
                <c:pt idx="9">
                  <c:v>Slab Cleaning</c:v>
                </c:pt>
                <c:pt idx="10">
                  <c:v>Tiling - Floors</c:v>
                </c:pt>
                <c:pt idx="11">
                  <c:v>Tiling - Granite</c:v>
                </c:pt>
                <c:pt idx="12">
                  <c:v>Waterproofing</c:v>
                </c:pt>
              </c:strCache>
            </c:strRef>
          </c:cat>
          <c:val>
            <c:numRef>
              <c:f>Cost_Analysis!$J$33:$J$46</c:f>
              <c:numCache>
                <c:formatCode>General</c:formatCode>
                <c:ptCount val="13"/>
                <c:pt idx="0">
                  <c:v>10000</c:v>
                </c:pt>
                <c:pt idx="1">
                  <c:v>40000</c:v>
                </c:pt>
                <c:pt idx="2">
                  <c:v>-40000</c:v>
                </c:pt>
                <c:pt idx="3">
                  <c:v>45000</c:v>
                </c:pt>
                <c:pt idx="4">
                  <c:v>10000</c:v>
                </c:pt>
                <c:pt idx="5">
                  <c:v>-20000</c:v>
                </c:pt>
                <c:pt idx="6">
                  <c:v>40000</c:v>
                </c:pt>
                <c:pt idx="7">
                  <c:v>45000</c:v>
                </c:pt>
                <c:pt idx="8">
                  <c:v>40000</c:v>
                </c:pt>
                <c:pt idx="9">
                  <c:v>80000</c:v>
                </c:pt>
                <c:pt idx="10">
                  <c:v>-30000</c:v>
                </c:pt>
                <c:pt idx="11">
                  <c:v>0</c:v>
                </c:pt>
                <c:pt idx="12">
                  <c:v>50000</c:v>
                </c:pt>
              </c:numCache>
            </c:numRef>
          </c:val>
          <c:extLst>
            <c:ext xmlns:c16="http://schemas.microsoft.com/office/drawing/2014/chart" uri="{C3380CC4-5D6E-409C-BE32-E72D297353CC}">
              <c16:uniqueId val="{00000000-61B4-4331-BEFC-9FE1F222FD63}"/>
            </c:ext>
          </c:extLst>
        </c:ser>
        <c:dLbls>
          <c:showLegendKey val="0"/>
          <c:showVal val="0"/>
          <c:showCatName val="0"/>
          <c:showSerName val="0"/>
          <c:showPercent val="0"/>
          <c:showBubbleSize val="0"/>
        </c:dLbls>
        <c:gapWidth val="227"/>
        <c:overlap val="-48"/>
        <c:axId val="361420728"/>
        <c:axId val="361418568"/>
      </c:barChart>
      <c:catAx>
        <c:axId val="36142072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1418568"/>
        <c:crosses val="autoZero"/>
        <c:auto val="1"/>
        <c:lblAlgn val="ctr"/>
        <c:lblOffset val="100"/>
        <c:noMultiLvlLbl val="0"/>
      </c:catAx>
      <c:valAx>
        <c:axId val="361418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1420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6</xdr:row>
      <xdr:rowOff>0</xdr:rowOff>
    </xdr:from>
    <xdr:to>
      <xdr:col>2</xdr:col>
      <xdr:colOff>707571</xdr:colOff>
      <xdr:row>18</xdr:row>
      <xdr:rowOff>0</xdr:rowOff>
    </xdr:to>
    <mc:AlternateContent xmlns:mc="http://schemas.openxmlformats.org/markup-compatibility/2006" xmlns:a14="http://schemas.microsoft.com/office/drawing/2010/main">
      <mc:Choice Requires="a14">
        <xdr:graphicFrame macro="">
          <xdr:nvGraphicFramePr>
            <xdr:cNvPr id="3" name="Contractor Name">
              <a:extLst>
                <a:ext uri="{FF2B5EF4-FFF2-40B4-BE49-F238E27FC236}">
                  <a16:creationId xmlns:a16="http://schemas.microsoft.com/office/drawing/2014/main" id="{573882A8-E9CC-C9B0-90ED-E05510F3AB95}"/>
                </a:ext>
              </a:extLst>
            </xdr:cNvPr>
            <xdr:cNvGraphicFramePr/>
          </xdr:nvGraphicFramePr>
          <xdr:xfrm>
            <a:off x="0" y="0"/>
            <a:ext cx="0" cy="0"/>
          </xdr:xfrm>
          <a:graphic>
            <a:graphicData uri="http://schemas.microsoft.com/office/drawing/2010/slicer">
              <sle:slicer xmlns:sle="http://schemas.microsoft.com/office/drawing/2010/slicer" name="Contractor Name"/>
            </a:graphicData>
          </a:graphic>
        </xdr:graphicFrame>
      </mc:Choice>
      <mc:Fallback xmlns="">
        <xdr:sp macro="" textlink="">
          <xdr:nvSpPr>
            <xdr:cNvPr id="0" name=""/>
            <xdr:cNvSpPr>
              <a:spLocks noTextEdit="1"/>
            </xdr:cNvSpPr>
          </xdr:nvSpPr>
          <xdr:spPr>
            <a:xfrm>
              <a:off x="195884" y="1118152"/>
              <a:ext cx="2416687" cy="2236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1361</xdr:colOff>
      <xdr:row>33</xdr:row>
      <xdr:rowOff>173493</xdr:rowOff>
    </xdr:from>
    <xdr:to>
      <xdr:col>2</xdr:col>
      <xdr:colOff>707571</xdr:colOff>
      <xdr:row>45</xdr:row>
      <xdr:rowOff>173493</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4E605539-B4C7-D985-5C1D-B4944757142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7720" y="6323330"/>
              <a:ext cx="2424851" cy="2236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2721</xdr:colOff>
      <xdr:row>19</xdr:row>
      <xdr:rowOff>181996</xdr:rowOff>
    </xdr:from>
    <xdr:to>
      <xdr:col>2</xdr:col>
      <xdr:colOff>707571</xdr:colOff>
      <xdr:row>32</xdr:row>
      <xdr:rowOff>568</xdr:rowOff>
    </xdr:to>
    <mc:AlternateContent xmlns:mc="http://schemas.openxmlformats.org/markup-compatibility/2006" xmlns:a14="http://schemas.microsoft.com/office/drawing/2010/main">
      <mc:Choice Requires="a14">
        <xdr:graphicFrame macro="">
          <xdr:nvGraphicFramePr>
            <xdr:cNvPr id="5" name="Task">
              <a:extLst>
                <a:ext uri="{FF2B5EF4-FFF2-40B4-BE49-F238E27FC236}">
                  <a16:creationId xmlns:a16="http://schemas.microsoft.com/office/drawing/2014/main" id="{31189BBB-1FC3-ABC4-E461-10070447A89C}"/>
                </a:ext>
              </a:extLst>
            </xdr:cNvPr>
            <xdr:cNvGraphicFramePr/>
          </xdr:nvGraphicFramePr>
          <xdr:xfrm>
            <a:off x="0" y="0"/>
            <a:ext cx="0" cy="0"/>
          </xdr:xfrm>
          <a:graphic>
            <a:graphicData uri="http://schemas.microsoft.com/office/drawing/2010/slicer">
              <sle:slicer xmlns:sle="http://schemas.microsoft.com/office/drawing/2010/slicer" name="Task"/>
            </a:graphicData>
          </a:graphic>
        </xdr:graphicFrame>
      </mc:Choice>
      <mc:Fallback xmlns="">
        <xdr:sp macro="" textlink="">
          <xdr:nvSpPr>
            <xdr:cNvPr id="0" name=""/>
            <xdr:cNvSpPr>
              <a:spLocks noTextEdit="1"/>
            </xdr:cNvSpPr>
          </xdr:nvSpPr>
          <xdr:spPr>
            <a:xfrm>
              <a:off x="189080" y="3722811"/>
              <a:ext cx="2423491" cy="2241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1272267</xdr:colOff>
      <xdr:row>5</xdr:row>
      <xdr:rowOff>179614</xdr:rowOff>
    </xdr:from>
    <xdr:to>
      <xdr:col>7</xdr:col>
      <xdr:colOff>1006929</xdr:colOff>
      <xdr:row>30</xdr:row>
      <xdr:rowOff>95250</xdr:rowOff>
    </xdr:to>
    <xdr:graphicFrame macro="">
      <xdr:nvGraphicFramePr>
        <xdr:cNvPr id="7" name="Chart 6">
          <a:extLst>
            <a:ext uri="{FF2B5EF4-FFF2-40B4-BE49-F238E27FC236}">
              <a16:creationId xmlns:a16="http://schemas.microsoft.com/office/drawing/2014/main" id="{21F05E12-12C5-6315-5400-ED0185FAA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13608</xdr:colOff>
      <xdr:row>0</xdr:row>
      <xdr:rowOff>149680</xdr:rowOff>
    </xdr:from>
    <xdr:to>
      <xdr:col>5</xdr:col>
      <xdr:colOff>789215</xdr:colOff>
      <xdr:row>3</xdr:row>
      <xdr:rowOff>54430</xdr:rowOff>
    </xdr:to>
    <xdr:sp macro="" textlink="">
      <xdr:nvSpPr>
        <xdr:cNvPr id="6" name="TextBox 5">
          <a:extLst>
            <a:ext uri="{FF2B5EF4-FFF2-40B4-BE49-F238E27FC236}">
              <a16:creationId xmlns:a16="http://schemas.microsoft.com/office/drawing/2014/main" id="{F3A085A6-9D11-03C8-C921-06DAF7A32580}"/>
            </a:ext>
          </a:extLst>
        </xdr:cNvPr>
        <xdr:cNvSpPr txBox="1"/>
      </xdr:nvSpPr>
      <xdr:spPr>
        <a:xfrm>
          <a:off x="190501" y="149680"/>
          <a:ext cx="673553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latin typeface="Consolas" panose="020B0609020204030204" pitchFamily="49" charset="0"/>
            </a:rPr>
            <a:t>Cost</a:t>
          </a:r>
          <a:r>
            <a:rPr lang="en-IN" sz="2800" b="1" baseline="0">
              <a:solidFill>
                <a:schemeClr val="bg1"/>
              </a:solidFill>
              <a:latin typeface="Consolas" panose="020B0609020204030204" pitchFamily="49" charset="0"/>
            </a:rPr>
            <a:t> Control &amp; Variance Analysis</a:t>
          </a:r>
          <a:endParaRPr lang="en-IN" sz="2800" b="1">
            <a:solidFill>
              <a:schemeClr val="bg1"/>
            </a:solidFill>
            <a:latin typeface="Consolas" panose="020B0609020204030204" pitchFamily="49" charset="0"/>
          </a:endParaRPr>
        </a:p>
      </xdr:txBody>
    </xdr:sp>
    <xdr:clientData/>
  </xdr:twoCellAnchor>
  <xdr:twoCellAnchor>
    <xdr:from>
      <xdr:col>1</xdr:col>
      <xdr:colOff>29936</xdr:colOff>
      <xdr:row>2</xdr:row>
      <xdr:rowOff>166009</xdr:rowOff>
    </xdr:from>
    <xdr:to>
      <xdr:col>5</xdr:col>
      <xdr:colOff>805543</xdr:colOff>
      <xdr:row>5</xdr:row>
      <xdr:rowOff>70759</xdr:rowOff>
    </xdr:to>
    <xdr:sp macro="" textlink="">
      <xdr:nvSpPr>
        <xdr:cNvPr id="8" name="TextBox 7">
          <a:extLst>
            <a:ext uri="{FF2B5EF4-FFF2-40B4-BE49-F238E27FC236}">
              <a16:creationId xmlns:a16="http://schemas.microsoft.com/office/drawing/2014/main" id="{AF8446FC-7D18-4444-BD90-A55CCCF8F115}"/>
            </a:ext>
          </a:extLst>
        </xdr:cNvPr>
        <xdr:cNvSpPr txBox="1"/>
      </xdr:nvSpPr>
      <xdr:spPr>
        <a:xfrm>
          <a:off x="206829" y="547009"/>
          <a:ext cx="673553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Consolas" panose="020B0609020204030204" pitchFamily="49" charset="0"/>
            </a:rPr>
            <a:t>Analysing project planned cost and budget overruns</a:t>
          </a:r>
        </a:p>
      </xdr:txBody>
    </xdr:sp>
    <xdr:clientData/>
  </xdr:twoCellAnchor>
  <xdr:twoCellAnchor>
    <xdr:from>
      <xdr:col>8</xdr:col>
      <xdr:colOff>6802</xdr:colOff>
      <xdr:row>5</xdr:row>
      <xdr:rowOff>179615</xdr:rowOff>
    </xdr:from>
    <xdr:to>
      <xdr:col>11</xdr:col>
      <xdr:colOff>1673678</xdr:colOff>
      <xdr:row>30</xdr:row>
      <xdr:rowOff>71437</xdr:rowOff>
    </xdr:to>
    <xdr:graphicFrame macro="">
      <xdr:nvGraphicFramePr>
        <xdr:cNvPr id="9" name="Chart 8">
          <a:extLst>
            <a:ext uri="{FF2B5EF4-FFF2-40B4-BE49-F238E27FC236}">
              <a16:creationId xmlns:a16="http://schemas.microsoft.com/office/drawing/2014/main" id="{C2EFD759-96A1-EECD-AB55-3D4231374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452437</xdr:colOff>
      <xdr:row>31</xdr:row>
      <xdr:rowOff>95248</xdr:rowOff>
    </xdr:from>
    <xdr:to>
      <xdr:col>11</xdr:col>
      <xdr:colOff>1666874</xdr:colOff>
      <xdr:row>46</xdr:row>
      <xdr:rowOff>23811</xdr:rowOff>
    </xdr:to>
    <xdr:sp macro="" textlink="">
      <xdr:nvSpPr>
        <xdr:cNvPr id="10" name="TextBox 9">
          <a:extLst>
            <a:ext uri="{FF2B5EF4-FFF2-40B4-BE49-F238E27FC236}">
              <a16:creationId xmlns:a16="http://schemas.microsoft.com/office/drawing/2014/main" id="{7536C7BF-9F70-E235-DDCA-596A6AB9822D}"/>
            </a:ext>
          </a:extLst>
        </xdr:cNvPr>
        <xdr:cNvSpPr txBox="1"/>
      </xdr:nvSpPr>
      <xdr:spPr>
        <a:xfrm>
          <a:off x="14620875" y="6000748"/>
          <a:ext cx="2928937" cy="2786063"/>
        </a:xfrm>
        <a:prstGeom prst="rect">
          <a:avLst/>
        </a:prstGeom>
        <a:solidFill>
          <a:schemeClr val="lt1"/>
        </a:solidFill>
        <a:ln w="127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44000" tIns="180000" rIns="180000" rtlCol="0" anchor="t"/>
        <a:lstStyle/>
        <a:p>
          <a:r>
            <a:rPr lang="en-IN" sz="1400" b="1">
              <a:latin typeface="Consolas" panose="020B0609020204030204" pitchFamily="49" charset="0"/>
            </a:rPr>
            <a:t>Key Insights:</a:t>
          </a:r>
          <a:br>
            <a:rPr lang="en-IN" sz="1400">
              <a:latin typeface="Consolas" panose="020B0609020204030204" pitchFamily="49" charset="0"/>
            </a:rPr>
          </a:br>
          <a:r>
            <a:rPr lang="en-IN" sz="1400">
              <a:latin typeface="Consolas" panose="020B0609020204030204" pitchFamily="49" charset="0"/>
            </a:rPr>
            <a:t>• Brickwork &amp; Slab Cleaning show highest overruns</a:t>
          </a:r>
          <a:br>
            <a:rPr lang="en-IN" sz="1400">
              <a:latin typeface="Consolas" panose="020B0609020204030204" pitchFamily="49" charset="0"/>
            </a:rPr>
          </a:br>
          <a:r>
            <a:rPr lang="en-IN" sz="1400">
              <a:latin typeface="Consolas" panose="020B0609020204030204" pitchFamily="49" charset="0"/>
            </a:rPr>
            <a:t>• Electrical works are within budget</a:t>
          </a:r>
          <a:br>
            <a:rPr lang="en-IN" sz="1400">
              <a:latin typeface="Consolas" panose="020B0609020204030204" pitchFamily="49" charset="0"/>
            </a:rPr>
          </a:br>
          <a:r>
            <a:rPr lang="en-IN" sz="1400">
              <a:latin typeface="Consolas" panose="020B0609020204030204" pitchFamily="49" charset="0"/>
            </a:rPr>
            <a:t>• Waterproofing costs trend above plan in later months</a:t>
          </a:r>
          <a:br>
            <a:rPr lang="en-IN" sz="1400">
              <a:latin typeface="Consolas" panose="020B0609020204030204" pitchFamily="49" charset="0"/>
            </a:rPr>
          </a:br>
          <a:r>
            <a:rPr lang="en-IN" sz="1400">
              <a:latin typeface="Consolas" panose="020B0609020204030204" pitchFamily="49" charset="0"/>
            </a:rPr>
            <a:t>• Cost overruns increase towards project completion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9.965651967592" backgroundQuery="1" createdVersion="8" refreshedVersion="8" minRefreshableVersion="3" recordCount="0" supportSubquery="1" supportAdvancedDrill="1" xr:uid="{6902497F-872E-44FF-BB2D-23E476D1E5CC}">
  <cacheSource type="external" connectionId="6"/>
  <cacheFields count="5">
    <cacheField name="[Cost_Data].[Task].[Task]" caption="Task" numFmtId="0" hierarchy="3" level="1">
      <sharedItems count="13">
        <s v="(D&amp;W) - Door Frames"/>
        <s v="(D&amp;W) - Door Shutter + Hardware"/>
        <s v="Brick Work"/>
        <s v="Cement Plaster"/>
        <s v="Cleaning"/>
        <s v="Electrical Conduits"/>
        <s v="Painting &amp; Touchup"/>
        <s v="Plumbing"/>
        <s v="POP Plaster"/>
        <s v="Slab Cleaning"/>
        <s v="Tiling - Floors"/>
        <s v="Tiling - Granite"/>
        <s v="Waterproofing"/>
      </sharedItems>
    </cacheField>
    <cacheField name="[Measures].[Sum of Actual Cost]" caption="Sum of Actual Cost" numFmtId="0" hierarchy="11" level="32767"/>
    <cacheField name="[Cost_Data].[Month].[Month]" caption="Month" numFmtId="0" hierarchy="4" level="1">
      <sharedItems containsSemiMixedTypes="0" containsNonDate="0" containsString="0"/>
    </cacheField>
    <cacheField name="[Measures].[Sum of Planned Cost]" caption="Sum of Planned Cost" numFmtId="0" hierarchy="10" level="32767"/>
    <cacheField name="[Measures].[Sum of Variance]" caption="Sum of Variance" numFmtId="0" hierarchy="12" level="32767"/>
  </cacheFields>
  <cacheHierarchies count="13">
    <cacheHierarchy uniqueName="[Cost_Data].[Project Name]" caption="Project Name" attribute="1" defaultMemberUniqueName="[Cost_Data].[Project Name].[All]" allUniqueName="[Cost_Data].[Project Name].[All]" dimensionUniqueName="[Cost_Data]" displayFolder="" count="0" memberValueDatatype="130" unbalanced="0"/>
    <cacheHierarchy uniqueName="[Cost_Data].[Contractor Name]" caption="Contractor Name" attribute="1" defaultMemberUniqueName="[Cost_Data].[Contractor Name].[All]" allUniqueName="[Cost_Data].[Contractor Name].[All]" dimensionUniqueName="[Cost_Data]" displayFolder="" count="2" memberValueDatatype="130" unbalanced="0"/>
    <cacheHierarchy uniqueName="[Cost_Data].[Contractor Category]" caption="Contractor Category" attribute="1" defaultMemberUniqueName="[Cost_Data].[Contractor Category].[All]" allUniqueName="[Cost_Data].[Contractor Category].[All]" dimensionUniqueName="[Cost_Data]" displayFolder="" count="0" memberValueDatatype="130" unbalanced="0"/>
    <cacheHierarchy uniqueName="[Cost_Data].[Task]" caption="Task" attribute="1" defaultMemberUniqueName="[Cost_Data].[Task].[All]" allUniqueName="[Cost_Data].[Task].[All]" dimensionUniqueName="[Cost_Data]" displayFolder="" count="2" memberValueDatatype="130" unbalanced="0">
      <fieldsUsage count="2">
        <fieldUsage x="-1"/>
        <fieldUsage x="0"/>
      </fieldsUsage>
    </cacheHierarchy>
    <cacheHierarchy uniqueName="[Cost_Data].[Month]" caption="Month" attribute="1" time="1" defaultMemberUniqueName="[Cost_Data].[Month].[All]" allUniqueName="[Cost_Data].[Month].[All]" dimensionUniqueName="[Cost_Data]" displayFolder="" count="2" memberValueDatatype="7" unbalanced="0">
      <fieldsUsage count="2">
        <fieldUsage x="-1"/>
        <fieldUsage x="2"/>
      </fieldsUsage>
    </cacheHierarchy>
    <cacheHierarchy uniqueName="[Cost_Data].[Planned Cost]" caption="Planned Cost" attribute="1" defaultMemberUniqueName="[Cost_Data].[Planned Cost].[All]" allUniqueName="[Cost_Data].[Planned Cost].[All]" dimensionUniqueName="[Cost_Data]" displayFolder="" count="0" memberValueDatatype="20" unbalanced="0"/>
    <cacheHierarchy uniqueName="[Cost_Data].[Actual Cost]" caption="Actual Cost" attribute="1" defaultMemberUniqueName="[Cost_Data].[Actual Cost].[All]" allUniqueName="[Cost_Data].[Actual Cost].[All]" dimensionUniqueName="[Cost_Data]" displayFolder="" count="0" memberValueDatatype="20" unbalanced="0"/>
    <cacheHierarchy uniqueName="[Cost_Data].[Variance]" caption="Variance" attribute="1" defaultMemberUniqueName="[Cost_Data].[Variance].[All]" allUniqueName="[Cost_Data].[Variance].[All]" dimensionUniqueName="[Cost_Data]" displayFolder="" count="0" memberValueDatatype="20" unbalanced="0"/>
    <cacheHierarchy uniqueName="[Measures].[__XL_Count Cost_Data]" caption="__XL_Count Cost_Data" measure="1" displayFolder="" measureGroup="Cost_Data" count="0" hidden="1"/>
    <cacheHierarchy uniqueName="[Measures].[__No measures defined]" caption="__No measures defined" measure="1" displayFolder="" count="0" hidden="1"/>
    <cacheHierarchy uniqueName="[Measures].[Sum of Planned Cost]" caption="Sum of Planned Cost" measure="1" displayFolder="" measureGroup="Cost_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Actual Cost]" caption="Sum of Actual Cost" measure="1" displayFolder="" measureGroup="Cost_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Variance]" caption="Sum of Variance" measure="1" displayFolder="" measureGroup="Cost_Data" count="0" oneField="1" hidden="1">
      <fieldsUsage count="1">
        <fieldUsage x="4"/>
      </fieldsUsage>
      <extLst>
        <ext xmlns:x15="http://schemas.microsoft.com/office/spreadsheetml/2010/11/main" uri="{B97F6D7D-B522-45F9-BDA1-12C45D357490}">
          <x15:cacheHierarchy aggregatedColumn="7"/>
        </ext>
      </extLst>
    </cacheHierarchy>
  </cacheHierarchies>
  <kpis count="0"/>
  <dimensions count="2">
    <dimension name="Cost_Data" uniqueName="[Cost_Data]" caption="Cost_Data"/>
    <dimension measure="1" name="Measures" uniqueName="[Measures]" caption="Measures"/>
  </dimensions>
  <measureGroups count="1">
    <measureGroup name="Cost_Data" caption="Cos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9.965652662038" backgroundQuery="1" createdVersion="8" refreshedVersion="8" minRefreshableVersion="3" recordCount="0" supportSubquery="1" supportAdvancedDrill="1" xr:uid="{17BB94D6-D706-4D98-9B69-2544600BED3A}">
  <cacheSource type="external" connectionId="6"/>
  <cacheFields count="3">
    <cacheField name="[Cost_Data].[Task].[Task]" caption="Task" numFmtId="0" hierarchy="3" level="1">
      <sharedItems count="13">
        <s v="(D&amp;W) - Door Frames"/>
        <s v="(D&amp;W) - Door Shutter + Hardware"/>
        <s v="Brick Work"/>
        <s v="Cement Plaster"/>
        <s v="Cleaning"/>
        <s v="Electrical Conduits"/>
        <s v="Painting &amp; Touchup"/>
        <s v="Plumbing"/>
        <s v="POP Plaster"/>
        <s v="Slab Cleaning"/>
        <s v="Tiling - Floors"/>
        <s v="Tiling - Granite"/>
        <s v="Waterproofing"/>
      </sharedItems>
    </cacheField>
    <cacheField name="[Cost_Data].[Month].[Month]" caption="Month" numFmtId="0" hierarchy="4" level="1">
      <sharedItems containsSemiMixedTypes="0" containsNonDate="0" containsString="0"/>
    </cacheField>
    <cacheField name="[Measures].[Sum of Variance]" caption="Sum of Variance" numFmtId="0" hierarchy="12" level="32767"/>
  </cacheFields>
  <cacheHierarchies count="13">
    <cacheHierarchy uniqueName="[Cost_Data].[Project Name]" caption="Project Name" attribute="1" defaultMemberUniqueName="[Cost_Data].[Project Name].[All]" allUniqueName="[Cost_Data].[Project Name].[All]" dimensionUniqueName="[Cost_Data]" displayFolder="" count="0" memberValueDatatype="130" unbalanced="0"/>
    <cacheHierarchy uniqueName="[Cost_Data].[Contractor Name]" caption="Contractor Name" attribute="1" defaultMemberUniqueName="[Cost_Data].[Contractor Name].[All]" allUniqueName="[Cost_Data].[Contractor Name].[All]" dimensionUniqueName="[Cost_Data]" displayFolder="" count="2" memberValueDatatype="130" unbalanced="0"/>
    <cacheHierarchy uniqueName="[Cost_Data].[Contractor Category]" caption="Contractor Category" attribute="1" defaultMemberUniqueName="[Cost_Data].[Contractor Category].[All]" allUniqueName="[Cost_Data].[Contractor Category].[All]" dimensionUniqueName="[Cost_Data]" displayFolder="" count="0" memberValueDatatype="130" unbalanced="0"/>
    <cacheHierarchy uniqueName="[Cost_Data].[Task]" caption="Task" attribute="1" defaultMemberUniqueName="[Cost_Data].[Task].[All]" allUniqueName="[Cost_Data].[Task].[All]" dimensionUniqueName="[Cost_Data]" displayFolder="" count="2" memberValueDatatype="130" unbalanced="0">
      <fieldsUsage count="2">
        <fieldUsage x="-1"/>
        <fieldUsage x="0"/>
      </fieldsUsage>
    </cacheHierarchy>
    <cacheHierarchy uniqueName="[Cost_Data].[Month]" caption="Month" attribute="1" time="1" defaultMemberUniqueName="[Cost_Data].[Month].[All]" allUniqueName="[Cost_Data].[Month].[All]" dimensionUniqueName="[Cost_Data]" displayFolder="" count="2" memberValueDatatype="7" unbalanced="0">
      <fieldsUsage count="2">
        <fieldUsage x="-1"/>
        <fieldUsage x="1"/>
      </fieldsUsage>
    </cacheHierarchy>
    <cacheHierarchy uniqueName="[Cost_Data].[Planned Cost]" caption="Planned Cost" attribute="1" defaultMemberUniqueName="[Cost_Data].[Planned Cost].[All]" allUniqueName="[Cost_Data].[Planned Cost].[All]" dimensionUniqueName="[Cost_Data]" displayFolder="" count="0" memberValueDatatype="20" unbalanced="0"/>
    <cacheHierarchy uniqueName="[Cost_Data].[Actual Cost]" caption="Actual Cost" attribute="1" defaultMemberUniqueName="[Cost_Data].[Actual Cost].[All]" allUniqueName="[Cost_Data].[Actual Cost].[All]" dimensionUniqueName="[Cost_Data]" displayFolder="" count="0" memberValueDatatype="20" unbalanced="0"/>
    <cacheHierarchy uniqueName="[Cost_Data].[Variance]" caption="Variance" attribute="1" defaultMemberUniqueName="[Cost_Data].[Variance].[All]" allUniqueName="[Cost_Data].[Variance].[All]" dimensionUniqueName="[Cost_Data]" displayFolder="" count="0" memberValueDatatype="20" unbalanced="0"/>
    <cacheHierarchy uniqueName="[Measures].[__XL_Count Cost_Data]" caption="__XL_Count Cost_Data" measure="1" displayFolder="" measureGroup="Cost_Data" count="0" hidden="1"/>
    <cacheHierarchy uniqueName="[Measures].[__No measures defined]" caption="__No measures defined" measure="1" displayFolder="" count="0" hidden="1"/>
    <cacheHierarchy uniqueName="[Measures].[Sum of Planned Cost]" caption="Sum of Planned Cost" measure="1" displayFolder="" measureGroup="Cost_Data" count="0" hidden="1">
      <extLst>
        <ext xmlns:x15="http://schemas.microsoft.com/office/spreadsheetml/2010/11/main" uri="{B97F6D7D-B522-45F9-BDA1-12C45D357490}">
          <x15:cacheHierarchy aggregatedColumn="5"/>
        </ext>
      </extLst>
    </cacheHierarchy>
    <cacheHierarchy uniqueName="[Measures].[Sum of Actual Cost]" caption="Sum of Actual Cost" measure="1" displayFolder="" measureGroup="Cost_Data" count="0" hidden="1">
      <extLst>
        <ext xmlns:x15="http://schemas.microsoft.com/office/spreadsheetml/2010/11/main" uri="{B97F6D7D-B522-45F9-BDA1-12C45D357490}">
          <x15:cacheHierarchy aggregatedColumn="6"/>
        </ext>
      </extLst>
    </cacheHierarchy>
    <cacheHierarchy uniqueName="[Measures].[Sum of Variance]" caption="Sum of Variance" measure="1" displayFolder="" measureGroup="Cost_Data"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name="Cost_Data" uniqueName="[Cost_Data]" caption="Cost_Data"/>
    <dimension measure="1" name="Measures" uniqueName="[Measures]" caption="Measures"/>
  </dimensions>
  <measureGroups count="1">
    <measureGroup name="Cost_Data" caption="Cos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9.941783564813" backgroundQuery="1" createdVersion="3" refreshedVersion="8" minRefreshableVersion="3" recordCount="0" supportSubquery="1" supportAdvancedDrill="1" xr:uid="{8F835B95-2D0F-4EC4-94E4-B5FBAE55D010}">
  <cacheSource type="external" connectionId="6">
    <extLst>
      <ext xmlns:x14="http://schemas.microsoft.com/office/spreadsheetml/2009/9/main" uri="{F057638F-6D5F-4e77-A914-E7F072B9BCA8}">
        <x14:sourceConnection name="ThisWorkbookDataModel"/>
      </ext>
    </extLst>
  </cacheSource>
  <cacheFields count="0"/>
  <cacheHierarchies count="12">
    <cacheHierarchy uniqueName="[Cost_Data].[Project Name]" caption="Project Name" attribute="1" defaultMemberUniqueName="[Cost_Data].[Project Name].[All]" allUniqueName="[Cost_Data].[Project Name].[All]" dimensionUniqueName="[Cost_Data]" displayFolder="" count="0" memberValueDatatype="130" unbalanced="0"/>
    <cacheHierarchy uniqueName="[Cost_Data].[Contractor Name]" caption="Contractor Name" attribute="1" defaultMemberUniqueName="[Cost_Data].[Contractor Name].[All]" allUniqueName="[Cost_Data].[Contractor Name].[All]" dimensionUniqueName="[Cost_Data]" displayFolder="" count="2" memberValueDatatype="130" unbalanced="0"/>
    <cacheHierarchy uniqueName="[Cost_Data].[Contractor Category]" caption="Contractor Category" attribute="1" defaultMemberUniqueName="[Cost_Data].[Contractor Category].[All]" allUniqueName="[Cost_Data].[Contractor Category].[All]" dimensionUniqueName="[Cost_Data]" displayFolder="" count="0" memberValueDatatype="130" unbalanced="0"/>
    <cacheHierarchy uniqueName="[Cost_Data].[Task]" caption="Task" attribute="1" defaultMemberUniqueName="[Cost_Data].[Task].[All]" allUniqueName="[Cost_Data].[Task].[All]" dimensionUniqueName="[Cost_Data]" displayFolder="" count="2" memberValueDatatype="130" unbalanced="0"/>
    <cacheHierarchy uniqueName="[Cost_Data].[Month]" caption="Month" attribute="1" time="1" defaultMemberUniqueName="[Cost_Data].[Month].[All]" allUniqueName="[Cost_Data].[Month].[All]" dimensionUniqueName="[Cost_Data]" displayFolder="" count="2" memberValueDatatype="7" unbalanced="0"/>
    <cacheHierarchy uniqueName="[Cost_Data].[Planned Cost]" caption="Planned Cost" attribute="1" defaultMemberUniqueName="[Cost_Data].[Planned Cost].[All]" allUniqueName="[Cost_Data].[Planned Cost].[All]" dimensionUniqueName="[Cost_Data]" displayFolder="" count="0" memberValueDatatype="20" unbalanced="0"/>
    <cacheHierarchy uniqueName="[Cost_Data].[Actual Cost]" caption="Actual Cost" attribute="1" defaultMemberUniqueName="[Cost_Data].[Actual Cost].[All]" allUniqueName="[Cost_Data].[Actual Cost].[All]" dimensionUniqueName="[Cost_Data]" displayFolder="" count="0" memberValueDatatype="20" unbalanced="0"/>
    <cacheHierarchy uniqueName="[Cost_Data].[Variance]" caption="Variance" attribute="1" defaultMemberUniqueName="[Cost_Data].[Variance].[All]" allUniqueName="[Cost_Data].[Variance].[All]" dimensionUniqueName="[Cost_Data]" displayFolder="" count="0" memberValueDatatype="20" unbalanced="0"/>
    <cacheHierarchy uniqueName="[Measures].[__XL_Count Cost_Data]" caption="__XL_Count Cost_Data" measure="1" displayFolder="" measureGroup="Cost_Data" count="0" hidden="1"/>
    <cacheHierarchy uniqueName="[Measures].[__No measures defined]" caption="__No measures defined" measure="1" displayFolder="" count="0" hidden="1"/>
    <cacheHierarchy uniqueName="[Measures].[Sum of Planned Cost]" caption="Sum of Planned Cost" measure="1" displayFolder="" measureGroup="Cost_Data" count="0" hidden="1">
      <extLst>
        <ext xmlns:x15="http://schemas.microsoft.com/office/spreadsheetml/2010/11/main" uri="{B97F6D7D-B522-45F9-BDA1-12C45D357490}">
          <x15:cacheHierarchy aggregatedColumn="5"/>
        </ext>
      </extLst>
    </cacheHierarchy>
    <cacheHierarchy uniqueName="[Measures].[Sum of Actual Cost]" caption="Sum of Actual Cost" measure="1" displayFolder="" measureGroup="Cost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4794993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AD7703-0FE9-4605-B10F-00BFE19C009A}" name="PivotTable1" cacheId="1" applyNumberFormats="0" applyBorderFormats="0" applyFontFormats="0" applyPatternFormats="0" applyAlignmentFormats="0" applyWidthHeightFormats="1" dataCaption="Values" updatedVersion="8" minRefreshableVersion="5" showDrill="0" subtotalHiddenItems="1" itemPrintTitles="1" createdVersion="8" indent="0" outline="1" outlineData="1" multipleFieldFilters="0" chartFormat="40">
  <location ref="I32:J46"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Sum of Variance" fld="2" baseField="0" baseItem="0"/>
  </dataFields>
  <chartFormats count="1">
    <chartFormat chart="24" format="0" series="1">
      <pivotArea type="data" outline="0" fieldPosition="0">
        <references count="1">
          <reference field="4294967294" count="1" selected="0">
            <x v="0"/>
          </reference>
        </references>
      </pivotArea>
    </chartFormat>
  </chartFormats>
  <pivotHierarchies count="13">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1" name="[Cost_Data].[Month]">
      <autoFilter ref="A1">
        <filterColumn colId="0">
          <customFilters and="1">
            <customFilter operator="greaterThanOrEqual" val="45566"/>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5.12.08 - Cost_Control &amp; Variance Analysis.xlsx!Cost_Data">
        <x15:activeTabTopLevelEntity name="[Cos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79FE6C-3745-40F7-AEDD-A3C93432C473}" name="Cost_Control_Pivot" cacheId="0" applyNumberFormats="0" applyBorderFormats="0" applyFontFormats="0" applyPatternFormats="0" applyAlignmentFormats="0" applyWidthHeightFormats="1" dataCaption="Values" updatedVersion="8" minRefreshableVersion="5" showDrill="0" subtotalHiddenItems="1" itemPrintTitles="1" createdVersion="8" indent="0" outline="1" outlineData="1" multipleFieldFilters="0" chartFormat="30">
  <location ref="D32:G46" firstHeaderRow="0"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Actual Cost" fld="1" baseField="0" baseItem="0"/>
    <dataField name="Sum of Planned Cost" fld="3" baseField="0" baseItem="0"/>
    <dataField name="Sum of Variance" fld="4" baseField="0" baseItem="0"/>
  </dataFields>
  <conditionalFormats count="2">
    <conditionalFormat priority="1">
      <pivotAreas count="1">
        <pivotArea type="data" collapsedLevelsAreSubtotals="1" fieldPosition="0">
          <references count="2">
            <reference field="4294967294" count="1" selected="0">
              <x v="2"/>
            </reference>
            <reference field="0" count="13">
              <x v="0"/>
              <x v="1"/>
              <x v="2"/>
              <x v="3"/>
              <x v="4"/>
              <x v="5"/>
              <x v="6"/>
              <x v="7"/>
              <x v="8"/>
              <x v="9"/>
              <x v="10"/>
              <x v="11"/>
              <x v="12"/>
            </reference>
          </references>
        </pivotArea>
      </pivotAreas>
    </conditionalFormat>
    <conditionalFormat priority="2">
      <pivotAreas count="1">
        <pivotArea type="data" collapsedLevelsAreSubtotals="1" fieldPosition="0">
          <references count="2">
            <reference field="4294967294" count="1" selected="0">
              <x v="2"/>
            </reference>
            <reference field="0" count="13">
              <x v="0"/>
              <x v="1"/>
              <x v="2"/>
              <x v="3"/>
              <x v="4"/>
              <x v="5"/>
              <x v="6"/>
              <x v="7"/>
              <x v="8"/>
              <x v="9"/>
              <x v="10"/>
              <x v="11"/>
              <x v="12"/>
            </reference>
          </references>
        </pivotArea>
      </pivotAreas>
    </conditionalFormat>
  </conditionalFormats>
  <chartFormats count="9">
    <chartFormat chart="0" format="7"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1"/>
          </reference>
        </references>
      </pivotArea>
    </chartFormat>
    <chartFormat chart="19" format="13" series="1">
      <pivotArea type="data" outline="0" fieldPosition="0">
        <references count="1">
          <reference field="4294967294" count="1" selected="0">
            <x v="2"/>
          </reference>
        </references>
      </pivotArea>
    </chartFormat>
    <chartFormat chart="0" format="9" series="1">
      <pivotArea type="data" outline="0" fieldPosition="0">
        <references count="1">
          <reference field="4294967294" count="1" selected="0">
            <x v="2"/>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s>
  <pivotHierarchies count="13">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Cost_Data].[Month]">
      <autoFilter ref="A1">
        <filterColumn colId="0">
          <customFilters and="1">
            <customFilter operator="greaterThanOrEqual" val="45566"/>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5.12.08 - Cost_Control &amp; Variance Analysis.xlsx!Cost_Data">
        <x15:activeTabTopLevelEntity name="[Cost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DBA5FB7-3041-403F-B932-E52C80822566}" autoFormatId="16" applyNumberFormats="0" applyBorderFormats="0" applyFontFormats="0" applyPatternFormats="0" applyAlignmentFormats="0" applyWidthHeightFormats="0">
  <queryTableRefresh nextId="9">
    <queryTableFields count="8">
      <queryTableField id="1" name="Cost_Data[Project Name]" tableColumnId="1"/>
      <queryTableField id="2" name="Cost_Data[Contractor Name]" tableColumnId="2"/>
      <queryTableField id="3" name="Cost_Data[Contractor Category]" tableColumnId="3"/>
      <queryTableField id="4" name="Cost_Data[Task]" tableColumnId="4"/>
      <queryTableField id="5" name="Cost_Data[Month]" tableColumnId="5"/>
      <queryTableField id="6" name="Cost_Data[Planned Cost]" tableColumnId="6"/>
      <queryTableField id="7" name="Cost_Data[Actual Cost]" tableColumnId="7"/>
      <queryTableField id="8" name="Cost_Data[Variance]"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or_Name" xr10:uid="{B35D86A4-8CA4-4446-9FA7-7B049AED3DF6}" sourceName="[Cost_Data].[Contractor Name]">
  <pivotTables>
    <pivotTable tabId="6" name="Cost_Control_Pivot"/>
    <pivotTable tabId="6" name="PivotTable1"/>
  </pivotTables>
  <data>
    <olap pivotCacheId="479499389">
      <levels count="2">
        <level uniqueName="[Cost_Data].[Contractor Name].[(All)]" sourceCaption="(All)" count="0"/>
        <level uniqueName="[Cost_Data].[Contractor Name].[Contractor Name]" sourceCaption="Contractor Name" count="11">
          <ranges>
            <range startItem="0">
              <i n="[Cost_Data].[Contractor Name].&amp;[AquaSeal Waterproofing]" c="AquaSeal Waterproofing"/>
              <i n="[Cost_Data].[Contractor Name].&amp;[ColorWorks Painting Co.]" c="ColorWorks Painting Co."/>
              <i n="[Cost_Data].[Contractor Name].&amp;[Interior POP Experts]" c="Interior POP Experts"/>
              <i n="[Cost_Data].[Contractor Name].&amp;[Marble &amp; Granite Hub]" c="Marble &amp; Granite Hub"/>
              <i n="[Cost_Data].[Contractor Name].&amp;[Omkar Plumbing Services]" c="Omkar Plumbing Services"/>
              <i n="[Cost_Data].[Contractor Name].&amp;[Perfect Plaster Works]" c="Perfect Plaster Works"/>
              <i n="[Cost_Data].[Contractor Name].&amp;[Prime Door &amp; Window Systems]" c="Prime Door &amp; Window Systems"/>
              <i n="[Cost_Data].[Contractor Name].&amp;[Sai Electricals]" c="Sai Electricals"/>
              <i n="[Cost_Data].[Contractor Name].&amp;[Shree Brickwork Solutions]" c="Shree Brickwork Solutions"/>
              <i n="[Cost_Data].[Contractor Name].&amp;[StrongBuild RCC Contractors]" c="StrongBuild RCC Contractors"/>
              <i n="[Cost_Data].[Contractor Name].&amp;[TileCraft Services]" c="TileCraft Services"/>
            </range>
          </ranges>
        </level>
      </levels>
      <selections count="1">
        <selection n="[Cost_Data].[Contractor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8BBEA0F-631B-4F1E-A82D-449392EE8989}" sourceName="[Cost_Data].[Month]">
  <pivotTables>
    <pivotTable tabId="6" name="Cost_Control_Pivot"/>
    <pivotTable tabId="6" name="PivotTable1"/>
  </pivotTables>
  <data>
    <olap pivotCacheId="479499389">
      <levels count="2">
        <level uniqueName="[Cost_Data].[Month].[(All)]" sourceCaption="(All)" count="0"/>
        <level uniqueName="[Cost_Data].[Month].[Month]" sourceCaption="Month" count="15">
          <ranges>
            <range startItem="0">
              <i n="[Cost_Data].[Month].&amp;[2023-10-01T00:00:00]" c="01-10-2023"/>
              <i n="[Cost_Data].[Month].&amp;[2023-11-01T00:00:00]" c="01-11-2023"/>
              <i n="[Cost_Data].[Month].&amp;[2023-12-01T00:00:00]" c="01-12-2023"/>
              <i n="[Cost_Data].[Month].&amp;[2024-01-01T00:00:00]" c="01-01-2024"/>
              <i n="[Cost_Data].[Month].&amp;[2024-02-01T00:00:00]" c="01-02-2024"/>
              <i n="[Cost_Data].[Month].&amp;[2024-03-01T00:00:00]" c="01-03-2024"/>
              <i n="[Cost_Data].[Month].&amp;[2024-04-01T00:00:00]" c="01-04-2024"/>
              <i n="[Cost_Data].[Month].&amp;[2024-05-01T00:00:00]" c="01-05-2024"/>
              <i n="[Cost_Data].[Month].&amp;[2024-06-01T00:00:00]" c="01-06-2024"/>
              <i n="[Cost_Data].[Month].&amp;[2024-07-01T00:00:00]" c="01-07-2024"/>
              <i n="[Cost_Data].[Month].&amp;[2024-08-01T00:00:00]" c="01-08-2024"/>
              <i n="[Cost_Data].[Month].&amp;[2024-09-01T00:00:00]" c="01-09-2024"/>
              <i n="[Cost_Data].[Month].&amp;[2024-10-01T00:00:00]" c="01-10-2024"/>
              <i n="[Cost_Data].[Month].&amp;[2024-11-01T00:00:00]" c="01-11-2024"/>
              <i n="[Cost_Data].[Month].&amp;[2024-12-01T00:00:00]" c="01-12-2024"/>
            </range>
          </ranges>
        </level>
      </levels>
      <selections count="1">
        <selection n="[Cost_Data].[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 xr10:uid="{B1ED85D7-232D-43AA-8B86-D0487AD391FB}" sourceName="[Cost_Data].[Task]">
  <pivotTables>
    <pivotTable tabId="6" name="Cost_Control_Pivot"/>
    <pivotTable tabId="6" name="PivotTable1"/>
  </pivotTables>
  <data>
    <olap pivotCacheId="479499389">
      <levels count="2">
        <level uniqueName="[Cost_Data].[Task].[(All)]" sourceCaption="(All)" count="0"/>
        <level uniqueName="[Cost_Data].[Task].[Task]" sourceCaption="Task" count="13">
          <ranges>
            <range startItem="0">
              <i n="[Cost_Data].[Task].&amp;[(D&amp;W) - Door Frames]" c="(D&amp;W) - Door Frames"/>
              <i n="[Cost_Data].[Task].&amp;[(D&amp;W) - Door Shutter + Hardware]" c="(D&amp;W) - Door Shutter + Hardware"/>
              <i n="[Cost_Data].[Task].&amp;[Brick Work]" c="Brick Work"/>
              <i n="[Cost_Data].[Task].&amp;[Cement Plaster]" c="Cement Plaster"/>
              <i n="[Cost_Data].[Task].&amp;[Cleaning]" c="Cleaning"/>
              <i n="[Cost_Data].[Task].&amp;[Electrical Conduits]" c="Electrical Conduits"/>
              <i n="[Cost_Data].[Task].&amp;[Painting &amp; Touchup]" c="Painting &amp; Touchup"/>
              <i n="[Cost_Data].[Task].&amp;[Plumbing]" c="Plumbing"/>
              <i n="[Cost_Data].[Task].&amp;[POP Plaster]" c="POP Plaster"/>
              <i n="[Cost_Data].[Task].&amp;[Slab Cleaning]" c="Slab Cleaning"/>
              <i n="[Cost_Data].[Task].&amp;[Tiling - Floors]" c="Tiling - Floors"/>
              <i n="[Cost_Data].[Task].&amp;[Tiling - Granite]" c="Tiling - Granite"/>
              <i n="[Cost_Data].[Task].&amp;[Waterproofing]" c="Waterproofing"/>
            </range>
          </ranges>
        </level>
      </levels>
      <selections count="1">
        <selection n="[Cost_Data].[Task].[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or Name" xr10:uid="{F146A21B-DC0C-4577-ACC3-D73D2AFC6CC0}" cache="Slicer_Contractor_Name" caption="Contractor Name" startItem="4" level="1" style="SlicerStyleDark1" rowHeight="241300"/>
  <slicer name="Month" xr10:uid="{C54D0DC5-B69F-4C24-B2FF-2C8E72FC4826}" cache="Slicer_Month" caption="Month" startItem="8" level="1" style="SlicerStyleDark1" rowHeight="241300"/>
  <slicer name="Task" xr10:uid="{E428BC48-79F6-4306-B5F5-D746BB8F2ED1}" cache="Slicer_Task" caption="Task" columnCount="2" level="1" style="SlicerStyleDark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917B19-BB0D-44DF-BD58-9553ADEEEA05}" name="Cost_Data" displayName="Cost_Data" ref="B2:I24" totalsRowShown="0">
  <autoFilter ref="B2:I24" xr:uid="{E8917B19-BB0D-44DF-BD58-9553ADEEEA05}"/>
  <tableColumns count="8">
    <tableColumn id="1" xr3:uid="{74562B23-760A-4C5D-BC2F-8FA233BDE388}" name="Project Name" dataDxfId="8"/>
    <tableColumn id="2" xr3:uid="{08C44028-4278-4BC2-AC3E-E3F26DFB1293}" name="Contractor Name" dataDxfId="7"/>
    <tableColumn id="3" xr3:uid="{4DC0D09E-9EB3-4C86-B627-B7729955191B}" name="Contractor Category" dataDxfId="6"/>
    <tableColumn id="4" xr3:uid="{E236C2C3-4B73-4064-8D9F-D211E8582DBF}" name="Task" dataDxfId="5"/>
    <tableColumn id="5" xr3:uid="{5F752F6A-398E-4CB9-8C6C-04C17B46DEB8}" name="Month" dataDxfId="4"/>
    <tableColumn id="6" xr3:uid="{63555541-DF8A-48EC-92B1-F451639C8F0E}" name="Planned Cost"/>
    <tableColumn id="7" xr3:uid="{DE5352EA-EC54-43A4-8F76-18B29601E53E}" name="Actual Cost"/>
    <tableColumn id="8" xr3:uid="{D50C0826-F8BE-4C53-A18E-214FDDCFC8ED}" name="Variance" dataDxfId="3">
      <calculatedColumnFormula>Cost_Data[[#This Row],[Actual Cost]]-Cost_Data[[#This Row],[Planned Cost]]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BC588E-C010-457C-97D6-1A635D1E8F4F}" name="Table_ExternalData_1" displayName="Table_ExternalData_1" ref="A3:H4" tableType="queryTable" totalsRowShown="0">
  <autoFilter ref="A3:H4" xr:uid="{21BC588E-C010-457C-97D6-1A635D1E8F4F}"/>
  <tableColumns count="8">
    <tableColumn id="1" xr3:uid="{FD506EB1-5384-4EAF-A1C0-EAD657E7153E}" uniqueName="1" name="Cost_Data[Project Name]" queryTableFieldId="1"/>
    <tableColumn id="2" xr3:uid="{59073F6C-6AA0-4393-A816-22DC7ACC471C}" uniqueName="2" name="Cost_Data[Contractor Name]" queryTableFieldId="2"/>
    <tableColumn id="3" xr3:uid="{24BC87A0-ABBE-48BB-96D1-BE92D61C2237}" uniqueName="3" name="Cost_Data[Contractor Category]" queryTableFieldId="3"/>
    <tableColumn id="4" xr3:uid="{2651D04B-A5B6-4429-996E-1FCA528C1DE5}" uniqueName="4" name="Cost_Data[Task]" queryTableFieldId="4"/>
    <tableColumn id="5" xr3:uid="{F3927D36-3EEC-4690-8C92-3284C846CE78}" uniqueName="5" name="Cost_Data[Month]" queryTableFieldId="5" dataDxfId="2"/>
    <tableColumn id="6" xr3:uid="{9B5BB165-0226-4E5B-A846-627FDB8616A6}" uniqueName="6" name="Cost_Data[Planned Cost]" queryTableFieldId="6"/>
    <tableColumn id="7" xr3:uid="{A46E30CC-B96F-4071-ACEC-079863EB26DA}" uniqueName="7" name="Cost_Data[Actual Cost]" queryTableFieldId="7"/>
    <tableColumn id="8" xr3:uid="{20717457-0718-433C-9FB3-B7C4FE7F9E86}" uniqueName="8" name="Cost_Data[Variance]"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A90A1-84AF-4E03-B076-2187F487B48C}">
  <dimension ref="B2:I24"/>
  <sheetViews>
    <sheetView zoomScale="85" zoomScaleNormal="85" workbookViewId="0">
      <selection activeCell="I4" sqref="I4"/>
    </sheetView>
  </sheetViews>
  <sheetFormatPr defaultRowHeight="15" x14ac:dyDescent="0.25"/>
  <cols>
    <col min="1" max="1" width="2.7109375" customWidth="1"/>
    <col min="2" max="2" width="15.42578125" bestFit="1" customWidth="1"/>
    <col min="3" max="3" width="29.7109375" bestFit="1" customWidth="1"/>
    <col min="4" max="4" width="21.140625" bestFit="1" customWidth="1"/>
    <col min="5" max="5" width="31.85546875" bestFit="1" customWidth="1"/>
    <col min="6" max="6" width="10.5703125" bestFit="1" customWidth="1"/>
    <col min="7" max="7" width="14.85546875" bestFit="1" customWidth="1"/>
    <col min="8" max="8" width="13.140625" bestFit="1" customWidth="1"/>
    <col min="9" max="9" width="15.7109375" customWidth="1"/>
  </cols>
  <sheetData>
    <row r="2" spans="2:9" x14ac:dyDescent="0.25">
      <c r="B2" t="s">
        <v>34</v>
      </c>
      <c r="C2" t="s">
        <v>35</v>
      </c>
      <c r="D2" t="s">
        <v>36</v>
      </c>
      <c r="E2" t="s">
        <v>37</v>
      </c>
      <c r="F2" t="s">
        <v>38</v>
      </c>
      <c r="G2" t="s">
        <v>39</v>
      </c>
      <c r="H2" t="s">
        <v>40</v>
      </c>
      <c r="I2" t="s">
        <v>45</v>
      </c>
    </row>
    <row r="3" spans="2:9" x14ac:dyDescent="0.25">
      <c r="B3" t="s">
        <v>0</v>
      </c>
      <c r="C3" t="s">
        <v>17</v>
      </c>
      <c r="D3" t="s">
        <v>18</v>
      </c>
      <c r="E3" t="s">
        <v>23</v>
      </c>
      <c r="F3" s="1">
        <v>45200</v>
      </c>
      <c r="G3">
        <v>520000</v>
      </c>
      <c r="H3">
        <v>545000</v>
      </c>
      <c r="I3">
        <f>Cost_Data[[#This Row],[Actual Cost]]-Cost_Data[[#This Row],[Planned Cost]]</f>
        <v>25000</v>
      </c>
    </row>
    <row r="4" spans="2:9" x14ac:dyDescent="0.25">
      <c r="B4" t="s">
        <v>0</v>
      </c>
      <c r="C4" t="s">
        <v>17</v>
      </c>
      <c r="D4" t="s">
        <v>18</v>
      </c>
      <c r="E4" t="s">
        <v>23</v>
      </c>
      <c r="F4" s="1">
        <v>45231</v>
      </c>
      <c r="G4">
        <v>500000</v>
      </c>
      <c r="H4">
        <v>510000</v>
      </c>
      <c r="I4">
        <f>Cost_Data[[#This Row],[Actual Cost]]-Cost_Data[[#This Row],[Planned Cost]]</f>
        <v>10000</v>
      </c>
    </row>
    <row r="5" spans="2:9" x14ac:dyDescent="0.25">
      <c r="B5" t="s">
        <v>0</v>
      </c>
      <c r="C5" t="s">
        <v>17</v>
      </c>
      <c r="D5" t="s">
        <v>18</v>
      </c>
      <c r="E5" t="s">
        <v>23</v>
      </c>
      <c r="F5" s="1">
        <v>45261</v>
      </c>
      <c r="G5">
        <v>450000</v>
      </c>
      <c r="H5">
        <v>495000</v>
      </c>
      <c r="I5">
        <f>Cost_Data[[#This Row],[Actual Cost]]-Cost_Data[[#This Row],[Planned Cost]]</f>
        <v>45000</v>
      </c>
    </row>
    <row r="6" spans="2:9" x14ac:dyDescent="0.25">
      <c r="B6" t="s">
        <v>0</v>
      </c>
      <c r="C6" t="s">
        <v>1</v>
      </c>
      <c r="D6" t="s">
        <v>2</v>
      </c>
      <c r="E6" t="s">
        <v>24</v>
      </c>
      <c r="F6" s="1">
        <v>45292</v>
      </c>
      <c r="G6">
        <v>400000</v>
      </c>
      <c r="H6">
        <v>380000</v>
      </c>
      <c r="I6">
        <f>Cost_Data[[#This Row],[Actual Cost]]-Cost_Data[[#This Row],[Planned Cost]]</f>
        <v>-20000</v>
      </c>
    </row>
    <row r="7" spans="2:9" x14ac:dyDescent="0.25">
      <c r="B7" t="s">
        <v>0</v>
      </c>
      <c r="C7" t="s">
        <v>1</v>
      </c>
      <c r="D7" t="s">
        <v>2</v>
      </c>
      <c r="E7" t="s">
        <v>24</v>
      </c>
      <c r="F7" s="1">
        <v>45323</v>
      </c>
      <c r="G7">
        <v>420000</v>
      </c>
      <c r="H7">
        <v>410000</v>
      </c>
      <c r="I7">
        <f>Cost_Data[[#This Row],[Actual Cost]]-Cost_Data[[#This Row],[Planned Cost]]</f>
        <v>-10000</v>
      </c>
    </row>
    <row r="8" spans="2:9" x14ac:dyDescent="0.25">
      <c r="B8" t="s">
        <v>0</v>
      </c>
      <c r="C8" t="s">
        <v>1</v>
      </c>
      <c r="D8" t="s">
        <v>2</v>
      </c>
      <c r="E8" t="s">
        <v>24</v>
      </c>
      <c r="F8" s="1">
        <v>45352</v>
      </c>
      <c r="G8">
        <v>450000</v>
      </c>
      <c r="H8">
        <v>440000</v>
      </c>
      <c r="I8">
        <f>Cost_Data[[#This Row],[Actual Cost]]-Cost_Data[[#This Row],[Planned Cost]]</f>
        <v>-10000</v>
      </c>
    </row>
    <row r="9" spans="2:9" x14ac:dyDescent="0.25">
      <c r="B9" t="s">
        <v>0</v>
      </c>
      <c r="C9" t="s">
        <v>3</v>
      </c>
      <c r="D9" t="s">
        <v>4</v>
      </c>
      <c r="E9" t="s">
        <v>25</v>
      </c>
      <c r="F9" s="1">
        <v>45383</v>
      </c>
      <c r="G9">
        <v>380000</v>
      </c>
      <c r="H9">
        <v>400000</v>
      </c>
      <c r="I9">
        <f>Cost_Data[[#This Row],[Actual Cost]]-Cost_Data[[#This Row],[Planned Cost]]</f>
        <v>20000</v>
      </c>
    </row>
    <row r="10" spans="2:9" x14ac:dyDescent="0.25">
      <c r="B10" t="s">
        <v>0</v>
      </c>
      <c r="C10" t="s">
        <v>3</v>
      </c>
      <c r="D10" t="s">
        <v>4</v>
      </c>
      <c r="E10" t="s">
        <v>25</v>
      </c>
      <c r="F10" s="1">
        <v>45413</v>
      </c>
      <c r="G10">
        <v>390000</v>
      </c>
      <c r="H10">
        <v>415000</v>
      </c>
      <c r="I10">
        <f>Cost_Data[[#This Row],[Actual Cost]]-Cost_Data[[#This Row],[Planned Cost]]</f>
        <v>25000</v>
      </c>
    </row>
    <row r="11" spans="2:9" x14ac:dyDescent="0.25">
      <c r="B11" t="s">
        <v>0</v>
      </c>
      <c r="C11" t="s">
        <v>5</v>
      </c>
      <c r="D11" t="s">
        <v>6</v>
      </c>
      <c r="E11" t="s">
        <v>26</v>
      </c>
      <c r="F11" s="1">
        <v>45444</v>
      </c>
      <c r="G11">
        <v>350000</v>
      </c>
      <c r="H11">
        <v>360000</v>
      </c>
      <c r="I11">
        <f>Cost_Data[[#This Row],[Actual Cost]]-Cost_Data[[#This Row],[Planned Cost]]</f>
        <v>10000</v>
      </c>
    </row>
    <row r="12" spans="2:9" x14ac:dyDescent="0.25">
      <c r="B12" t="s">
        <v>0</v>
      </c>
      <c r="C12" t="s">
        <v>5</v>
      </c>
      <c r="D12" t="s">
        <v>6</v>
      </c>
      <c r="E12" t="s">
        <v>26</v>
      </c>
      <c r="F12" s="1">
        <v>45474</v>
      </c>
      <c r="G12">
        <v>360000</v>
      </c>
      <c r="H12">
        <v>390000</v>
      </c>
      <c r="I12">
        <f>Cost_Data[[#This Row],[Actual Cost]]-Cost_Data[[#This Row],[Planned Cost]]</f>
        <v>30000</v>
      </c>
    </row>
    <row r="13" spans="2:9" x14ac:dyDescent="0.25">
      <c r="B13" t="s">
        <v>0</v>
      </c>
      <c r="C13" t="s">
        <v>7</v>
      </c>
      <c r="D13" t="s">
        <v>8</v>
      </c>
      <c r="E13" t="s">
        <v>27</v>
      </c>
      <c r="F13" s="1">
        <v>45444</v>
      </c>
      <c r="G13">
        <v>300000</v>
      </c>
      <c r="H13">
        <v>290000</v>
      </c>
      <c r="I13">
        <f>Cost_Data[[#This Row],[Actual Cost]]-Cost_Data[[#This Row],[Planned Cost]]</f>
        <v>-10000</v>
      </c>
    </row>
    <row r="14" spans="2:9" x14ac:dyDescent="0.25">
      <c r="B14" t="s">
        <v>0</v>
      </c>
      <c r="C14" t="s">
        <v>7</v>
      </c>
      <c r="D14" t="s">
        <v>8</v>
      </c>
      <c r="E14" t="s">
        <v>27</v>
      </c>
      <c r="F14" s="1">
        <v>45474</v>
      </c>
      <c r="G14">
        <v>320000</v>
      </c>
      <c r="H14">
        <v>310000</v>
      </c>
      <c r="I14">
        <f>Cost_Data[[#This Row],[Actual Cost]]-Cost_Data[[#This Row],[Planned Cost]]</f>
        <v>-10000</v>
      </c>
    </row>
    <row r="15" spans="2:9" x14ac:dyDescent="0.25">
      <c r="B15" t="s">
        <v>0</v>
      </c>
      <c r="C15" t="s">
        <v>9</v>
      </c>
      <c r="D15" t="s">
        <v>10</v>
      </c>
      <c r="E15" t="s">
        <v>28</v>
      </c>
      <c r="F15" s="1">
        <v>45474</v>
      </c>
      <c r="G15">
        <v>280000</v>
      </c>
      <c r="H15">
        <v>295000</v>
      </c>
      <c r="I15">
        <f>Cost_Data[[#This Row],[Actual Cost]]-Cost_Data[[#This Row],[Planned Cost]]</f>
        <v>15000</v>
      </c>
    </row>
    <row r="16" spans="2:9" x14ac:dyDescent="0.25">
      <c r="B16" t="s">
        <v>0</v>
      </c>
      <c r="C16" t="s">
        <v>9</v>
      </c>
      <c r="D16" t="s">
        <v>10</v>
      </c>
      <c r="E16" t="s">
        <v>28</v>
      </c>
      <c r="F16" s="1">
        <v>45505</v>
      </c>
      <c r="G16">
        <v>300000</v>
      </c>
      <c r="H16">
        <v>330000</v>
      </c>
      <c r="I16">
        <f>Cost_Data[[#This Row],[Actual Cost]]-Cost_Data[[#This Row],[Planned Cost]]</f>
        <v>30000</v>
      </c>
    </row>
    <row r="17" spans="2:9" x14ac:dyDescent="0.25">
      <c r="B17" t="s">
        <v>0</v>
      </c>
      <c r="C17" t="s">
        <v>11</v>
      </c>
      <c r="D17" t="s">
        <v>12</v>
      </c>
      <c r="E17" t="s">
        <v>12</v>
      </c>
      <c r="F17" s="1">
        <v>45505</v>
      </c>
      <c r="G17">
        <v>260000</v>
      </c>
      <c r="H17">
        <v>280000</v>
      </c>
      <c r="I17">
        <f>Cost_Data[[#This Row],[Actual Cost]]-Cost_Data[[#This Row],[Planned Cost]]</f>
        <v>20000</v>
      </c>
    </row>
    <row r="18" spans="2:9" x14ac:dyDescent="0.25">
      <c r="B18" t="s">
        <v>0</v>
      </c>
      <c r="C18" t="s">
        <v>11</v>
      </c>
      <c r="D18" t="s">
        <v>12</v>
      </c>
      <c r="E18" t="s">
        <v>12</v>
      </c>
      <c r="F18" s="1">
        <v>45536</v>
      </c>
      <c r="G18">
        <v>270000</v>
      </c>
      <c r="H18">
        <v>300000</v>
      </c>
      <c r="I18">
        <f>Cost_Data[[#This Row],[Actual Cost]]-Cost_Data[[#This Row],[Planned Cost]]</f>
        <v>30000</v>
      </c>
    </row>
    <row r="19" spans="2:9" x14ac:dyDescent="0.25">
      <c r="B19" t="s">
        <v>0</v>
      </c>
      <c r="C19" t="s">
        <v>13</v>
      </c>
      <c r="D19" t="s">
        <v>14</v>
      </c>
      <c r="E19" t="s">
        <v>29</v>
      </c>
      <c r="F19" s="1">
        <v>45536</v>
      </c>
      <c r="G19">
        <v>310000</v>
      </c>
      <c r="H19">
        <v>280000</v>
      </c>
      <c r="I19">
        <f>Cost_Data[[#This Row],[Actual Cost]]-Cost_Data[[#This Row],[Planned Cost]]</f>
        <v>-30000</v>
      </c>
    </row>
    <row r="20" spans="2:9" x14ac:dyDescent="0.25">
      <c r="B20" t="s">
        <v>0</v>
      </c>
      <c r="C20" t="s">
        <v>15</v>
      </c>
      <c r="D20" t="s">
        <v>16</v>
      </c>
      <c r="E20" t="s">
        <v>30</v>
      </c>
      <c r="F20" s="1">
        <v>45566</v>
      </c>
      <c r="G20">
        <v>450000</v>
      </c>
      <c r="H20">
        <v>450000</v>
      </c>
      <c r="I20">
        <f>Cost_Data[[#This Row],[Actual Cost]]-Cost_Data[[#This Row],[Planned Cost]]</f>
        <v>0</v>
      </c>
    </row>
    <row r="21" spans="2:9" x14ac:dyDescent="0.25">
      <c r="B21" t="s">
        <v>0</v>
      </c>
      <c r="C21" t="s">
        <v>19</v>
      </c>
      <c r="D21" t="s">
        <v>20</v>
      </c>
      <c r="E21" t="s">
        <v>31</v>
      </c>
      <c r="F21" s="1">
        <v>45566</v>
      </c>
      <c r="G21">
        <v>380000</v>
      </c>
      <c r="H21">
        <v>390000</v>
      </c>
      <c r="I21">
        <f>Cost_Data[[#This Row],[Actual Cost]]-Cost_Data[[#This Row],[Planned Cost]]</f>
        <v>10000</v>
      </c>
    </row>
    <row r="22" spans="2:9" x14ac:dyDescent="0.25">
      <c r="B22" t="s">
        <v>0</v>
      </c>
      <c r="C22" t="s">
        <v>19</v>
      </c>
      <c r="D22" t="s">
        <v>20</v>
      </c>
      <c r="E22" t="s">
        <v>32</v>
      </c>
      <c r="F22" s="1">
        <v>45597</v>
      </c>
      <c r="G22">
        <v>420000</v>
      </c>
      <c r="H22">
        <v>460000</v>
      </c>
      <c r="I22">
        <f>Cost_Data[[#This Row],[Actual Cost]]-Cost_Data[[#This Row],[Planned Cost]]</f>
        <v>40000</v>
      </c>
    </row>
    <row r="23" spans="2:9" x14ac:dyDescent="0.25">
      <c r="B23" t="s">
        <v>0</v>
      </c>
      <c r="C23" t="s">
        <v>21</v>
      </c>
      <c r="D23" t="s">
        <v>22</v>
      </c>
      <c r="E23" t="s">
        <v>22</v>
      </c>
      <c r="F23" s="1">
        <v>45597</v>
      </c>
      <c r="G23">
        <v>300000</v>
      </c>
      <c r="H23">
        <v>340000</v>
      </c>
      <c r="I23">
        <f>Cost_Data[[#This Row],[Actual Cost]]-Cost_Data[[#This Row],[Planned Cost]]</f>
        <v>40000</v>
      </c>
    </row>
    <row r="24" spans="2:9" x14ac:dyDescent="0.25">
      <c r="B24" t="s">
        <v>0</v>
      </c>
      <c r="C24" t="s">
        <v>21</v>
      </c>
      <c r="D24" t="s">
        <v>22</v>
      </c>
      <c r="E24" t="s">
        <v>33</v>
      </c>
      <c r="F24" s="1">
        <v>45627</v>
      </c>
      <c r="G24">
        <v>200000</v>
      </c>
      <c r="H24">
        <v>210000</v>
      </c>
      <c r="I24">
        <f>Cost_Data[[#This Row],[Actual Cost]]-Cost_Data[[#This Row],[Planned Cost]]</f>
        <v>10000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344C-0AC8-4F57-B92B-52D4596D374C}">
  <dimension ref="A1:H4"/>
  <sheetViews>
    <sheetView workbookViewId="0"/>
  </sheetViews>
  <sheetFormatPr defaultRowHeight="15" x14ac:dyDescent="0.25"/>
  <cols>
    <col min="1" max="1" width="26" bestFit="1" customWidth="1"/>
    <col min="2" max="2" width="29.140625" bestFit="1" customWidth="1"/>
    <col min="3" max="3" width="31.7109375" bestFit="1" customWidth="1"/>
    <col min="4" max="4" width="20" bestFit="1" customWidth="1"/>
    <col min="5" max="5" width="19.85546875" bestFit="1" customWidth="1"/>
    <col min="6" max="6" width="25.5703125" bestFit="1" customWidth="1"/>
    <col min="7" max="7" width="23.85546875" bestFit="1" customWidth="1"/>
    <col min="8" max="8" width="21.5703125" bestFit="1" customWidth="1"/>
  </cols>
  <sheetData>
    <row r="1" spans="1:8" x14ac:dyDescent="0.25">
      <c r="A1" s="6" t="s">
        <v>55</v>
      </c>
    </row>
    <row r="3" spans="1:8" x14ac:dyDescent="0.25">
      <c r="A3" t="s">
        <v>47</v>
      </c>
      <c r="B3" t="s">
        <v>48</v>
      </c>
      <c r="C3" t="s">
        <v>49</v>
      </c>
      <c r="D3" t="s">
        <v>50</v>
      </c>
      <c r="E3" t="s">
        <v>51</v>
      </c>
      <c r="F3" t="s">
        <v>52</v>
      </c>
      <c r="G3" t="s">
        <v>53</v>
      </c>
      <c r="H3" t="s">
        <v>54</v>
      </c>
    </row>
    <row r="4" spans="1:8" x14ac:dyDescent="0.25">
      <c r="A4" t="s">
        <v>0</v>
      </c>
      <c r="B4" t="s">
        <v>19</v>
      </c>
      <c r="C4" t="s">
        <v>20</v>
      </c>
      <c r="D4" t="s">
        <v>31</v>
      </c>
      <c r="E4" s="1">
        <v>45566</v>
      </c>
      <c r="F4">
        <v>380000</v>
      </c>
      <c r="G4">
        <v>390000</v>
      </c>
      <c r="H4">
        <v>10000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687E-E7B1-46E9-8749-A998B1804A32}">
  <sheetPr>
    <pageSetUpPr fitToPage="1"/>
  </sheetPr>
  <dimension ref="D1:J46"/>
  <sheetViews>
    <sheetView showGridLines="0" tabSelected="1" zoomScale="46" zoomScaleNormal="46" workbookViewId="0">
      <selection activeCell="P30" sqref="P30"/>
    </sheetView>
  </sheetViews>
  <sheetFormatPr defaultRowHeight="15" x14ac:dyDescent="0.25"/>
  <cols>
    <col min="1" max="1" width="2.7109375" customWidth="1"/>
    <col min="2" max="2" width="25.7109375" customWidth="1"/>
    <col min="3" max="3" width="19.42578125" bestFit="1" customWidth="1"/>
    <col min="4" max="4" width="26.5703125" customWidth="1"/>
    <col min="5" max="5" width="17.7109375" customWidth="1"/>
    <col min="6" max="7" width="25.7109375" customWidth="1"/>
    <col min="8" max="8" width="17.5703125" customWidth="1"/>
    <col min="9" max="12" width="25.7109375" customWidth="1"/>
    <col min="15" max="15" width="0" hidden="1" customWidth="1"/>
  </cols>
  <sheetData>
    <row r="1" spans="6:6" s="4" customFormat="1" x14ac:dyDescent="0.25"/>
    <row r="2" spans="6:6" s="4" customFormat="1" x14ac:dyDescent="0.25"/>
    <row r="3" spans="6:6" s="4" customFormat="1" x14ac:dyDescent="0.25"/>
    <row r="4" spans="6:6" s="4" customFormat="1" x14ac:dyDescent="0.25"/>
    <row r="5" spans="6:6" s="4" customFormat="1" x14ac:dyDescent="0.25">
      <c r="F5" s="5"/>
    </row>
    <row r="32" spans="4:10" x14ac:dyDescent="0.25">
      <c r="D32" s="2" t="s">
        <v>41</v>
      </c>
      <c r="E32" t="s">
        <v>44</v>
      </c>
      <c r="F32" t="s">
        <v>43</v>
      </c>
      <c r="G32" t="s">
        <v>46</v>
      </c>
      <c r="I32" s="2" t="s">
        <v>41</v>
      </c>
      <c r="J32" t="s">
        <v>46</v>
      </c>
    </row>
    <row r="33" spans="4:10" x14ac:dyDescent="0.25">
      <c r="D33" s="3" t="s">
        <v>31</v>
      </c>
      <c r="E33">
        <v>390000</v>
      </c>
      <c r="F33">
        <v>380000</v>
      </c>
      <c r="G33">
        <v>10000</v>
      </c>
      <c r="I33" s="3" t="s">
        <v>31</v>
      </c>
      <c r="J33">
        <v>10000</v>
      </c>
    </row>
    <row r="34" spans="4:10" x14ac:dyDescent="0.25">
      <c r="D34" s="3" t="s">
        <v>32</v>
      </c>
      <c r="E34">
        <v>460000</v>
      </c>
      <c r="F34">
        <v>420000</v>
      </c>
      <c r="G34">
        <v>40000</v>
      </c>
      <c r="I34" s="3" t="s">
        <v>32</v>
      </c>
      <c r="J34">
        <v>40000</v>
      </c>
    </row>
    <row r="35" spans="4:10" x14ac:dyDescent="0.25">
      <c r="D35" s="3" t="s">
        <v>24</v>
      </c>
      <c r="E35">
        <v>1230000</v>
      </c>
      <c r="F35">
        <v>1270000</v>
      </c>
      <c r="G35">
        <v>-40000</v>
      </c>
      <c r="I35" s="3" t="s">
        <v>24</v>
      </c>
      <c r="J35">
        <v>-40000</v>
      </c>
    </row>
    <row r="36" spans="4:10" x14ac:dyDescent="0.25">
      <c r="D36" s="3" t="s">
        <v>25</v>
      </c>
      <c r="E36">
        <v>815000</v>
      </c>
      <c r="F36">
        <v>770000</v>
      </c>
      <c r="G36">
        <v>45000</v>
      </c>
      <c r="I36" s="3" t="s">
        <v>25</v>
      </c>
      <c r="J36">
        <v>45000</v>
      </c>
    </row>
    <row r="37" spans="4:10" x14ac:dyDescent="0.25">
      <c r="D37" s="3" t="s">
        <v>33</v>
      </c>
      <c r="E37">
        <v>210000</v>
      </c>
      <c r="F37">
        <v>200000</v>
      </c>
      <c r="G37">
        <v>10000</v>
      </c>
      <c r="I37" s="3" t="s">
        <v>33</v>
      </c>
      <c r="J37">
        <v>10000</v>
      </c>
    </row>
    <row r="38" spans="4:10" x14ac:dyDescent="0.25">
      <c r="D38" s="3" t="s">
        <v>27</v>
      </c>
      <c r="E38">
        <v>600000</v>
      </c>
      <c r="F38">
        <v>620000</v>
      </c>
      <c r="G38">
        <v>-20000</v>
      </c>
      <c r="I38" s="3" t="s">
        <v>27</v>
      </c>
      <c r="J38">
        <v>-20000</v>
      </c>
    </row>
    <row r="39" spans="4:10" x14ac:dyDescent="0.25">
      <c r="D39" s="3" t="s">
        <v>22</v>
      </c>
      <c r="E39">
        <v>340000</v>
      </c>
      <c r="F39">
        <v>300000</v>
      </c>
      <c r="G39">
        <v>40000</v>
      </c>
      <c r="I39" s="3" t="s">
        <v>22</v>
      </c>
      <c r="J39">
        <v>40000</v>
      </c>
    </row>
    <row r="40" spans="4:10" x14ac:dyDescent="0.25">
      <c r="D40" s="3" t="s">
        <v>28</v>
      </c>
      <c r="E40">
        <v>625000</v>
      </c>
      <c r="F40">
        <v>580000</v>
      </c>
      <c r="G40">
        <v>45000</v>
      </c>
      <c r="I40" s="3" t="s">
        <v>28</v>
      </c>
      <c r="J40">
        <v>45000</v>
      </c>
    </row>
    <row r="41" spans="4:10" x14ac:dyDescent="0.25">
      <c r="D41" s="3" t="s">
        <v>26</v>
      </c>
      <c r="E41">
        <v>750000</v>
      </c>
      <c r="F41">
        <v>710000</v>
      </c>
      <c r="G41">
        <v>40000</v>
      </c>
      <c r="I41" s="3" t="s">
        <v>26</v>
      </c>
      <c r="J41">
        <v>40000</v>
      </c>
    </row>
    <row r="42" spans="4:10" x14ac:dyDescent="0.25">
      <c r="D42" s="3" t="s">
        <v>23</v>
      </c>
      <c r="E42">
        <v>1550000</v>
      </c>
      <c r="F42">
        <v>1470000</v>
      </c>
      <c r="G42">
        <v>80000</v>
      </c>
      <c r="I42" s="3" t="s">
        <v>23</v>
      </c>
      <c r="J42">
        <v>80000</v>
      </c>
    </row>
    <row r="43" spans="4:10" x14ac:dyDescent="0.25">
      <c r="D43" s="3" t="s">
        <v>29</v>
      </c>
      <c r="E43">
        <v>280000</v>
      </c>
      <c r="F43">
        <v>310000</v>
      </c>
      <c r="G43">
        <v>-30000</v>
      </c>
      <c r="I43" s="3" t="s">
        <v>29</v>
      </c>
      <c r="J43">
        <v>-30000</v>
      </c>
    </row>
    <row r="44" spans="4:10" x14ac:dyDescent="0.25">
      <c r="D44" s="3" t="s">
        <v>30</v>
      </c>
      <c r="E44">
        <v>450000</v>
      </c>
      <c r="F44">
        <v>450000</v>
      </c>
      <c r="G44">
        <v>0</v>
      </c>
      <c r="I44" s="3" t="s">
        <v>30</v>
      </c>
      <c r="J44">
        <v>0</v>
      </c>
    </row>
    <row r="45" spans="4:10" x14ac:dyDescent="0.25">
      <c r="D45" s="3" t="s">
        <v>12</v>
      </c>
      <c r="E45">
        <v>580000</v>
      </c>
      <c r="F45">
        <v>530000</v>
      </c>
      <c r="G45">
        <v>50000</v>
      </c>
      <c r="I45" s="3" t="s">
        <v>12</v>
      </c>
      <c r="J45">
        <v>50000</v>
      </c>
    </row>
    <row r="46" spans="4:10" x14ac:dyDescent="0.25">
      <c r="D46" s="3" t="s">
        <v>42</v>
      </c>
      <c r="E46">
        <v>8280000</v>
      </c>
      <c r="F46">
        <v>8010000</v>
      </c>
      <c r="G46">
        <v>270000</v>
      </c>
      <c r="I46" s="3" t="s">
        <v>42</v>
      </c>
      <c r="J46">
        <v>270000</v>
      </c>
    </row>
  </sheetData>
  <conditionalFormatting pivot="1" sqref="G33:G45">
    <cfRule type="cellIs" dxfId="1" priority="2" operator="lessThan">
      <formula>0</formula>
    </cfRule>
  </conditionalFormatting>
  <conditionalFormatting pivot="1" sqref="G33:G45">
    <cfRule type="cellIs" dxfId="0" priority="1" operator="greaterThan">
      <formula>0</formula>
    </cfRule>
  </conditionalFormatting>
  <printOptions horizontalCentered="1" verticalCentered="1"/>
  <pageMargins left="0.25" right="0.25" top="0.75" bottom="0.75" header="0.3" footer="0.3"/>
  <pageSetup paperSize="9" scale="54" orientation="landscape"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8B9ED4-7129-4CCB-8F73-91214A34AA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main_data</vt:lpstr>
      <vt:lpstr>Sheet1</vt:lpstr>
      <vt:lpstr>Cost_Analysis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Yatekar Shubham Gyaneshwar - [AA.BU.P2MBA2401967]</dc:creator>
  <cp:lastModifiedBy>Yatekar Shubham Gyaneshwar - [AA.BU.P2MBA2401967]</cp:lastModifiedBy>
  <cp:lastPrinted>2025-12-09T06:36:19Z</cp:lastPrinted>
  <dcterms:created xsi:type="dcterms:W3CDTF">2025-12-08T12:22:29Z</dcterms:created>
  <dcterms:modified xsi:type="dcterms:W3CDTF">2025-12-09T06:36:25Z</dcterms:modified>
</cp:coreProperties>
</file>